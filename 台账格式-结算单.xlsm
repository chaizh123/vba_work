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943" windowHeight="12564" tabRatio="601"/>
  </bookViews>
  <sheets>
    <sheet name="台账" sheetId="1" r:id="rId1"/>
  </sheets>
  <definedNames>
    <definedName name="付款合计" localSheetId="0">台账!$A$30</definedName>
    <definedName name="付款时间" localSheetId="0">台账!$A$22</definedName>
    <definedName name="合同信息" localSheetId="0">台账!$A$8</definedName>
    <definedName name="结算信息" localSheetId="0">台账!$A$50</definedName>
    <definedName name="进项合计" localSheetId="0">台账!$A$44</definedName>
    <definedName name="进项开票日期" localSheetId="0">台账!$A$40</definedName>
    <definedName name="进项项目" localSheetId="0">台账!$B$40</definedName>
    <definedName name="开票信息" localSheetId="0">台账!$A$39</definedName>
    <definedName name="上下家信息" localSheetId="0">台账!$A$1</definedName>
    <definedName name="收款合计" localSheetId="0">台账!$A$38</definedName>
    <definedName name="收款时间" localSheetId="0">台账!$A$31</definedName>
    <definedName name="台账信息" localSheetId="0">台账!$A$21</definedName>
    <definedName name="台账信息结束" localSheetId="0">台账!$I$38</definedName>
    <definedName name="文件目录" localSheetId="0">台账!$A$67</definedName>
    <definedName name="销项合计" localSheetId="0">台账!$A$49</definedName>
    <definedName name="销项开票日期" localSheetId="0">台账!$A$45</definedName>
    <definedName name="销项项目" localSheetId="0">台账!$B$45</definedName>
    <definedName name="上下家信息区域" localSheetId="0">台账!$A$2:$J$7</definedName>
    <definedName name="合同信息区域" localSheetId="0">台账!$A$8:$I$19</definedName>
    <definedName name="堆存费合计" localSheetId="0">台账!$F$87</definedName>
    <definedName name="结算信息结束" localSheetId="0">台账!$D$66</definedName>
    <definedName name="合同交期" localSheetId="0">台账!$A$13</definedName>
    <definedName name="合同类型" localSheetId="0">台账!$A$11</definedName>
    <definedName name="信用证信息" localSheetId="0">台账!$E$8</definedName>
    <definedName name="货代" localSheetId="0">台账!$A$12</definedName>
    <definedName name="仓库" localSheetId="0">台账!$A$9</definedName>
    <definedName name="货物名称" localSheetId="0">台账!$A$10</definedName>
    <definedName name="利润" localSheetId="0">台账!$A$64</definedName>
    <definedName name="毛利" localSheetId="0">台账!$A$65</definedName>
    <definedName name="收款发货情况" localSheetId="0">台账!$G$31</definedName>
    <definedName name="付款发货情况" localSheetId="0">台账!$G$22</definedName>
    <definedName name="数量简报" localSheetId="0">台账!$F$62</definedName>
    <definedName name="进口信息" localSheetId="0">台账!$G$8</definedName>
    <definedName name="成本信息" localSheetId="0">台账!$I$8</definedName>
    <definedName name="在途库存" localSheetId="0">台账!$A$15</definedName>
    <definedName name="现货库存" localSheetId="0">台账!$A$16</definedName>
    <definedName name="上下家信息">#REF!</definedName>
    <definedName name="单价">#REF!</definedName>
    <definedName name="合同号">#REF!</definedName>
    <definedName name="货物名称">#REF!</definedName>
    <definedName name="结算信息">#REF!</definedName>
    <definedName name="结算信息结束">#REF!</definedName>
    <definedName name="开票信息">#REF!</definedName>
    <definedName name="开票信息结束">#REF!</definedName>
    <definedName name="台账信息结束">#REF!</definedName>
    <definedName name="销项合计">#REF!</definedName>
    <definedName name="_L2">#REF!</definedName>
    <definedName name="L2_WMT">#REF!</definedName>
    <definedName name="L2_DMT">#REF!</definedName>
    <definedName name="_L3">#REF!</definedName>
    <definedName name="L3_WMT">#REF!</definedName>
    <definedName name="L3_DMT">#REF!</definedName>
    <definedName name="_L4">#REF!</definedName>
    <definedName name="L4_WMT">#REF!</definedName>
    <definedName name="L4_DMT">#REF!</definedName>
    <definedName name="_L5">#REF!</definedName>
    <definedName name="L5_WMT">#REF!</definedName>
    <definedName name="L5_DMT">#REF!</definedName>
    <definedName name="是否赊销预付" localSheetId="0">台账!$A$14</definedName>
    <definedName name="报关日期" localSheetId="0">台账!$F$10</definedName>
    <definedName name="进口日期" localSheetId="0">台账!$F$11</definedName>
    <definedName name="报关金额" localSheetId="0">台账!$F$12</definedName>
    <definedName name="报关数量" localSheetId="0">台账!$F$13</definedName>
    <definedName name="是否二报" localSheetId="0">台账!$F$14</definedName>
    <definedName name="出库数" localSheetId="0">台账!$F$19</definedName>
    <definedName name="堆场" localSheetId="0">台账!$F$18</definedName>
    <definedName name="入库日期" localSheetId="0">台账!$F$17</definedName>
    <definedName name="入库数" localSheetId="0">台账!$F$16</definedName>
    <definedName name="合同开始日期" localSheetId="0">台账!$A$18</definedName>
    <definedName name="合同结束日期" localSheetId="0">台账!$A$19</definedName>
    <definedName name="装运数" localSheetId="0">台账!$F$15</definedName>
    <definedName name="库存数" localSheetId="0">台账!$F$20</definedName>
  </definedNames>
  <calcPr calcId="144525"/>
</workbook>
</file>

<file path=xl/comments1.xml><?xml version="1.0" encoding="utf-8"?>
<comments xmlns="http://schemas.openxmlformats.org/spreadsheetml/2006/main">
  <authors>
    <author>David</author>
  </authors>
  <commentList>
    <comment ref="F1" authorId="0">
      <text>
        <r>
          <rPr>
            <b/>
            <sz val="9"/>
            <rFont val="宋体"/>
            <charset val="134"/>
          </rPr>
          <t>David:</t>
        </r>
        <r>
          <rPr>
            <sz val="9"/>
            <rFont val="宋体"/>
            <charset val="134"/>
          </rPr>
          <t xml:space="preserve">
规则：L开头数字结尾，多采购合同号，按顺序编
举例：L1/L2/L3...</t>
        </r>
      </text>
    </comment>
  </commentList>
</comments>
</file>

<file path=xl/sharedStrings.xml><?xml version="1.0" encoding="utf-8"?>
<sst xmlns="http://schemas.openxmlformats.org/spreadsheetml/2006/main" count="204" uniqueCount="183">
  <si>
    <t>上下家信息</t>
  </si>
  <si>
    <t>公司名称</t>
  </si>
  <si>
    <t>合同号</t>
  </si>
  <si>
    <t>批次号</t>
  </si>
  <si>
    <t>单价</t>
  </si>
  <si>
    <t>单位</t>
  </si>
  <si>
    <t>数量</t>
  </si>
  <si>
    <t>合同金额</t>
  </si>
  <si>
    <t>签订时间</t>
  </si>
  <si>
    <t>交期</t>
  </si>
  <si>
    <t>库存</t>
  </si>
  <si>
    <t>结束日期</t>
  </si>
  <si>
    <t>备注</t>
  </si>
  <si>
    <t>上家</t>
  </si>
  <si>
    <t>宣威市凯信新材料科技有限公司</t>
  </si>
  <si>
    <t>22ZGZJNMC1031</t>
  </si>
  <si>
    <t>L1/L2</t>
  </si>
  <si>
    <t>湖南凯信新材料集团有限公司</t>
  </si>
  <si>
    <t>22ZGZJNMC1031-2</t>
  </si>
  <si>
    <t>L3</t>
  </si>
  <si>
    <t>下家</t>
  </si>
  <si>
    <t>宝钢德盛不锈钢有限公司</t>
  </si>
  <si>
    <t>2210HT02999</t>
  </si>
  <si>
    <t>L1/L2/L3</t>
  </si>
  <si>
    <t>福建福欣特殊钢有限公司</t>
  </si>
  <si>
    <t>test</t>
  </si>
  <si>
    <t>合同信息</t>
  </si>
  <si>
    <t>信用证信息</t>
  </si>
  <si>
    <t>进口信息</t>
  </si>
  <si>
    <t>成本信息</t>
  </si>
  <si>
    <t>仓库</t>
  </si>
  <si>
    <t>开证银行</t>
  </si>
  <si>
    <t>/</t>
  </si>
  <si>
    <t>报关数据</t>
  </si>
  <si>
    <t>L1</t>
  </si>
  <si>
    <t>成本测算</t>
  </si>
  <si>
    <t>货物名称</t>
  </si>
  <si>
    <t>信用证号</t>
  </si>
  <si>
    <t>报关日期</t>
  </si>
  <si>
    <t>计价含量</t>
  </si>
  <si>
    <t>合同类型</t>
  </si>
  <si>
    <t>开证金额</t>
  </si>
  <si>
    <t>进口日期</t>
  </si>
  <si>
    <t>计价重量</t>
  </si>
  <si>
    <t>货代</t>
  </si>
  <si>
    <t>开证日期</t>
  </si>
  <si>
    <t>报关金额</t>
  </si>
  <si>
    <t>单价(元/吨)</t>
  </si>
  <si>
    <t>合同交期</t>
  </si>
  <si>
    <t>信用证装期</t>
  </si>
  <si>
    <t>报关数量</t>
  </si>
  <si>
    <t>进口税金(货款x13%)</t>
  </si>
  <si>
    <t>是否赊销预付</t>
  </si>
  <si>
    <t>信用证效期</t>
  </si>
  <si>
    <t>是否二报</t>
  </si>
  <si>
    <t>货代费(元/吨)</t>
  </si>
  <si>
    <t>在途库存</t>
  </si>
  <si>
    <t>信用证允差</t>
  </si>
  <si>
    <r>
      <rPr>
        <sz val="10"/>
        <rFont val="微软雅黑"/>
        <charset val="134"/>
      </rPr>
      <t>提单数/</t>
    </r>
    <r>
      <rPr>
        <b/>
        <sz val="10"/>
        <rFont val="微软雅黑"/>
        <charset val="134"/>
      </rPr>
      <t>出厂数</t>
    </r>
  </si>
  <si>
    <t>检验费(元/吨)</t>
  </si>
  <si>
    <t>现货库存</t>
  </si>
  <si>
    <t>即/远期</t>
  </si>
  <si>
    <t>入库数</t>
  </si>
  <si>
    <t>堆存费(元/吨)</t>
  </si>
  <si>
    <t>代理费</t>
  </si>
  <si>
    <t>开证费</t>
  </si>
  <si>
    <t>入库日期</t>
  </si>
  <si>
    <t>代理费(元/吨)</t>
  </si>
  <si>
    <t>合同开始日期</t>
  </si>
  <si>
    <t>开证资金占用</t>
  </si>
  <si>
    <t>堆场</t>
  </si>
  <si>
    <t>资金利息(元/吨)</t>
  </si>
  <si>
    <t>合同结束日期</t>
  </si>
  <si>
    <t>预留：多上家合同号</t>
  </si>
  <si>
    <t>出库数</t>
  </si>
  <si>
    <t>成本(元/吨)</t>
  </si>
  <si>
    <t>库存数</t>
  </si>
  <si>
    <t>台账信息</t>
  </si>
  <si>
    <t>to开票信息</t>
  </si>
  <si>
    <t>to结算信息</t>
  </si>
  <si>
    <t>汇率</t>
  </si>
  <si>
    <t>中行汇率</t>
  </si>
  <si>
    <t>资金利息计算利率</t>
  </si>
  <si>
    <t>付款时间</t>
  </si>
  <si>
    <t>付款性质</t>
  </si>
  <si>
    <t>付款不含税金额</t>
  </si>
  <si>
    <t>付款金额</t>
  </si>
  <si>
    <r>
      <rPr>
        <b/>
        <sz val="11"/>
        <rFont val="微软雅黑"/>
        <charset val="134"/>
      </rPr>
      <t>付款备注</t>
    </r>
    <r>
      <rPr>
        <b/>
        <sz val="10"/>
        <color rgb="FFFF0000"/>
        <rFont val="微软雅黑"/>
        <charset val="134"/>
      </rPr>
      <t>(多上家，第一列为抬头/合同号)</t>
    </r>
  </si>
  <si>
    <t>付款发货情况</t>
  </si>
  <si>
    <t>付款利息</t>
  </si>
  <si>
    <t>付款批次号</t>
  </si>
  <si>
    <t>付款合计</t>
  </si>
  <si>
    <t>收款时间</t>
  </si>
  <si>
    <t>收款性质</t>
  </si>
  <si>
    <t>收款不含税金额</t>
  </si>
  <si>
    <t>收款金额</t>
  </si>
  <si>
    <r>
      <rPr>
        <b/>
        <sz val="11"/>
        <rFont val="微软雅黑"/>
        <charset val="134"/>
      </rPr>
      <t>收款备注</t>
    </r>
    <r>
      <rPr>
        <b/>
        <sz val="10"/>
        <color rgb="FFFF0000"/>
        <rFont val="微软雅黑"/>
        <charset val="134"/>
      </rPr>
      <t>(多下家，第一列为抬头/合同号)</t>
    </r>
  </si>
  <si>
    <t>收款发货情况</t>
  </si>
  <si>
    <t>收款利息</t>
  </si>
  <si>
    <t>收款批次号</t>
  </si>
  <si>
    <t>收款合计</t>
  </si>
  <si>
    <t>开票信息</t>
  </si>
  <si>
    <t>回到顶部</t>
  </si>
  <si>
    <t>入库联系单</t>
  </si>
  <si>
    <t>货运发票报销</t>
  </si>
  <si>
    <t>开票联系单</t>
  </si>
  <si>
    <t>进项开票日期</t>
  </si>
  <si>
    <t>进项项目</t>
  </si>
  <si>
    <t>进项数量</t>
  </si>
  <si>
    <t>进项金额</t>
  </si>
  <si>
    <t>进项税率</t>
  </si>
  <si>
    <t>进项不含税金额</t>
  </si>
  <si>
    <r>
      <rPr>
        <b/>
        <sz val="10"/>
        <rFont val="微软雅黑"/>
        <charset val="134"/>
      </rPr>
      <t>进项备注</t>
    </r>
    <r>
      <rPr>
        <b/>
        <sz val="10"/>
        <color rgb="FFFF0000"/>
        <rFont val="微软雅黑"/>
        <charset val="134"/>
      </rPr>
      <t>(美元请在备注第二列写明)</t>
    </r>
  </si>
  <si>
    <t>进项批次号</t>
  </si>
  <si>
    <t>特别说明：银行费用不能进入进项，而是在结算单中独立计算</t>
  </si>
  <si>
    <t>进项合计</t>
  </si>
  <si>
    <t>销项开票日期</t>
  </si>
  <si>
    <t>销项项目</t>
  </si>
  <si>
    <t>销项数量</t>
  </si>
  <si>
    <t>销项金额</t>
  </si>
  <si>
    <t>销项税率</t>
  </si>
  <si>
    <t>销项不含税金额</t>
  </si>
  <si>
    <r>
      <rPr>
        <b/>
        <sz val="10"/>
        <rFont val="微软雅黑"/>
        <charset val="134"/>
      </rPr>
      <t>销售备注</t>
    </r>
    <r>
      <rPr>
        <b/>
        <sz val="10"/>
        <color rgb="FFFF0000"/>
        <rFont val="微软雅黑"/>
        <charset val="134"/>
      </rPr>
      <t>(多下家则第一列合同号)</t>
    </r>
  </si>
  <si>
    <t>销项批次号</t>
  </si>
  <si>
    <t>分票毛利</t>
  </si>
  <si>
    <t>分票净利</t>
  </si>
  <si>
    <t>销项合计</t>
  </si>
  <si>
    <t>开票信息结束</t>
  </si>
  <si>
    <t>结算信息</t>
  </si>
  <si>
    <t>利润结算</t>
  </si>
  <si>
    <t>费率</t>
  </si>
  <si>
    <t>金额</t>
  </si>
  <si>
    <t>付款计算</t>
  </si>
  <si>
    <t>成本测算：</t>
  </si>
  <si>
    <t>一、销售收入</t>
  </si>
  <si>
    <t>货款暂估</t>
  </si>
  <si>
    <t>支付货款</t>
  </si>
  <si>
    <t>二、销售成本</t>
  </si>
  <si>
    <t>利息暂估</t>
  </si>
  <si>
    <r>
      <rPr>
        <sz val="12"/>
        <rFont val="微软雅黑"/>
        <charset val="0"/>
      </rPr>
      <t>税金</t>
    </r>
    <r>
      <rPr>
        <sz val="9"/>
        <rFont val="微软雅黑"/>
        <charset val="0"/>
      </rPr>
      <t>（货款x13%）</t>
    </r>
  </si>
  <si>
    <t>三、支付税金总额</t>
  </si>
  <si>
    <t>代理费暂估</t>
  </si>
  <si>
    <t>货代费</t>
  </si>
  <si>
    <t>增值税</t>
  </si>
  <si>
    <t>货代费暂估</t>
  </si>
  <si>
    <t>检验费</t>
  </si>
  <si>
    <t>城市建设税</t>
  </si>
  <si>
    <t>报关增值税</t>
  </si>
  <si>
    <t>资金利息</t>
  </si>
  <si>
    <t>教育费附加</t>
  </si>
  <si>
    <t>商检费用</t>
  </si>
  <si>
    <t>堆存费</t>
  </si>
  <si>
    <t>水利基金</t>
  </si>
  <si>
    <t>付款计算合计</t>
  </si>
  <si>
    <t>成本合计</t>
  </si>
  <si>
    <t>印花税</t>
  </si>
  <si>
    <t>100%*0.03%*2</t>
  </si>
  <si>
    <t>四、资金利息</t>
  </si>
  <si>
    <t>五、银行费用</t>
  </si>
  <si>
    <t>六、代理费</t>
  </si>
  <si>
    <t>数量简报：</t>
  </si>
  <si>
    <t>七、其他费用</t>
  </si>
  <si>
    <t>提单号</t>
  </si>
  <si>
    <t>八、利润</t>
  </si>
  <si>
    <t>未完结</t>
  </si>
  <si>
    <t>提单数</t>
  </si>
  <si>
    <t>九、毛利</t>
  </si>
  <si>
    <t>卸港湿吨</t>
  </si>
  <si>
    <t>多上下家的此处预留给合同号</t>
  </si>
  <si>
    <t>结算信息结束</t>
  </si>
  <si>
    <t>卸港干吨</t>
  </si>
  <si>
    <t>入库数量</t>
  </si>
  <si>
    <t>利息计算</t>
  </si>
  <si>
    <t>不含税费率：</t>
  </si>
  <si>
    <t>期间</t>
  </si>
  <si>
    <t>天数</t>
  </si>
  <si>
    <t>利息</t>
  </si>
  <si>
    <t>利息计算合计</t>
  </si>
  <si>
    <t>堆存费计算</t>
  </si>
  <si>
    <t>入库日期：</t>
  </si>
  <si>
    <t>止算日期：</t>
  </si>
  <si>
    <t>天数：</t>
  </si>
  <si>
    <t>堆存费合计</t>
  </si>
</sst>
</file>

<file path=xl/styles.xml><?xml version="1.0" encoding="utf-8"?>
<styleSheet xmlns="http://schemas.openxmlformats.org/spreadsheetml/2006/main">
  <numFmts count="16">
    <numFmt numFmtId="7" formatCode="&quot;￥&quot;#,##0.00;&quot;￥&quot;\-#,##0.00"/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.00_ "/>
    <numFmt numFmtId="177" formatCode="yyyy/m/d;@"/>
    <numFmt numFmtId="178" formatCode="\¥#,##0.00;\¥\-#,##0.00"/>
    <numFmt numFmtId="179" formatCode="\$#,##0.00;\-\$#,##0.00"/>
    <numFmt numFmtId="180" formatCode="0.00&quot;吨&quot;"/>
    <numFmt numFmtId="181" formatCode="\$#,##0.00;\$\-#,##0.00"/>
    <numFmt numFmtId="182" formatCode="0.000&quot;吨&quot;"/>
    <numFmt numFmtId="183" formatCode="0.000_ "/>
    <numFmt numFmtId="184" formatCode="#,##0.00_);[Red]\(#,##0.00\)"/>
    <numFmt numFmtId="185" formatCode="0.00_ "/>
  </numFmts>
  <fonts count="50">
    <font>
      <sz val="12"/>
      <name val="宋体"/>
      <charset val="134"/>
    </font>
    <font>
      <sz val="12"/>
      <name val="微软雅黑"/>
      <charset val="134"/>
    </font>
    <font>
      <b/>
      <sz val="12"/>
      <name val="微软雅黑"/>
      <charset val="134"/>
    </font>
    <font>
      <b/>
      <sz val="10"/>
      <color rgb="FFFF0000"/>
      <name val="微软雅黑"/>
      <charset val="134"/>
    </font>
    <font>
      <b/>
      <sz val="10"/>
      <name val="微软雅黑"/>
      <charset val="134"/>
    </font>
    <font>
      <sz val="10"/>
      <name val="微软雅黑"/>
      <charset val="134"/>
    </font>
    <font>
      <sz val="10"/>
      <color theme="9" tint="0.8"/>
      <name val="微软雅黑"/>
      <charset val="134"/>
    </font>
    <font>
      <sz val="9"/>
      <name val="微软雅黑"/>
      <charset val="134"/>
    </font>
    <font>
      <b/>
      <u/>
      <sz val="9"/>
      <color rgb="FFFF0000"/>
      <name val="微软雅黑"/>
      <charset val="134"/>
    </font>
    <font>
      <b/>
      <u/>
      <sz val="11"/>
      <color rgb="FFFF0000"/>
      <name val="微软雅黑"/>
      <charset val="134"/>
    </font>
    <font>
      <b/>
      <sz val="11"/>
      <name val="微软雅黑"/>
      <charset val="134"/>
    </font>
    <font>
      <sz val="11"/>
      <name val="微软雅黑"/>
      <charset val="134"/>
    </font>
    <font>
      <b/>
      <sz val="11"/>
      <color rgb="FFFF0000"/>
      <name val="微软雅黑"/>
      <charset val="134"/>
    </font>
    <font>
      <sz val="11"/>
      <color indexed="10"/>
      <name val="微软雅黑"/>
      <charset val="134"/>
    </font>
    <font>
      <b/>
      <sz val="11"/>
      <color indexed="10"/>
      <name val="微软雅黑"/>
      <charset val="134"/>
    </font>
    <font>
      <sz val="12"/>
      <name val="微软雅黑"/>
      <charset val="0"/>
    </font>
    <font>
      <b/>
      <sz val="10"/>
      <color theme="3"/>
      <name val="微软雅黑"/>
      <charset val="134"/>
    </font>
    <font>
      <sz val="12"/>
      <color rgb="FFFF0000"/>
      <name val="微软雅黑"/>
      <charset val="134"/>
    </font>
    <font>
      <sz val="9"/>
      <color indexed="63"/>
      <name val="微软雅黑"/>
      <charset val="134"/>
    </font>
    <font>
      <sz val="12"/>
      <color indexed="63"/>
      <name val="微软雅黑"/>
      <charset val="134"/>
    </font>
    <font>
      <b/>
      <sz val="12"/>
      <name val="微软雅黑"/>
      <charset val="0"/>
    </font>
    <font>
      <sz val="16"/>
      <name val="微软雅黑"/>
      <charset val="134"/>
    </font>
    <font>
      <sz val="10"/>
      <color rgb="FFFF0000"/>
      <name val="微软雅黑"/>
      <charset val="134"/>
    </font>
    <font>
      <b/>
      <sz val="12"/>
      <color rgb="FFFF0000"/>
      <name val="微软雅黑"/>
      <charset val="0"/>
    </font>
    <font>
      <b/>
      <sz val="12"/>
      <color indexed="10"/>
      <name val="微软雅黑"/>
      <charset val="0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indexed="8"/>
      <name val="宋体"/>
      <charset val="134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sz val="9"/>
      <name val="微软雅黑"/>
      <charset val="0"/>
    </font>
    <font>
      <b/>
      <sz val="9"/>
      <name val="宋体"/>
      <charset val="134"/>
    </font>
    <font>
      <sz val="9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8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6" tint="0.799920651875362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>
      <alignment vertical="center"/>
    </xf>
    <xf numFmtId="42" fontId="25" fillId="0" borderId="0" applyFon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7" fillId="8" borderId="16" applyNumberFormat="0" applyAlignment="0" applyProtection="0">
      <alignment vertical="center"/>
    </xf>
    <xf numFmtId="44" fontId="25" fillId="0" borderId="0" applyFont="0" applyFill="0" applyBorder="0" applyAlignment="0" applyProtection="0">
      <alignment vertical="center"/>
    </xf>
    <xf numFmtId="41" fontId="25" fillId="0" borderId="0" applyFont="0" applyFill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>
      <alignment vertical="center"/>
    </xf>
    <xf numFmtId="0" fontId="25" fillId="12" borderId="17" applyNumberFormat="0" applyFont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2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3" fillId="0" borderId="19" applyNumberFormat="0" applyFill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9" fillId="16" borderId="20" applyNumberFormat="0" applyAlignment="0" applyProtection="0">
      <alignment vertical="center"/>
    </xf>
    <xf numFmtId="0" fontId="40" fillId="16" borderId="16" applyNumberFormat="0" applyAlignment="0" applyProtection="0">
      <alignment vertical="center"/>
    </xf>
    <xf numFmtId="0" fontId="41" fillId="17" borderId="21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42" fillId="0" borderId="22" applyNumberFormat="0" applyFill="0" applyAlignment="0" applyProtection="0">
      <alignment vertical="center"/>
    </xf>
    <xf numFmtId="0" fontId="0" fillId="0" borderId="0">
      <alignment vertical="center"/>
    </xf>
    <xf numFmtId="0" fontId="43" fillId="0" borderId="23" applyNumberFormat="0" applyFill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46" fillId="0" borderId="0">
      <alignment vertical="center"/>
    </xf>
    <xf numFmtId="0" fontId="0" fillId="0" borderId="0">
      <alignment vertical="center"/>
    </xf>
  </cellStyleXfs>
  <cellXfs count="19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vertical="center" wrapText="1"/>
    </xf>
    <xf numFmtId="0" fontId="1" fillId="2" borderId="5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left" vertical="center" shrinkToFit="1"/>
    </xf>
    <xf numFmtId="0" fontId="3" fillId="2" borderId="10" xfId="0" applyFont="1" applyFill="1" applyBorder="1" applyAlignment="1">
      <alignment vertical="center" wrapText="1" shrinkToFit="1"/>
    </xf>
    <xf numFmtId="0" fontId="1" fillId="2" borderId="10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2" fillId="2" borderId="8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 wrapText="1"/>
    </xf>
    <xf numFmtId="0" fontId="1" fillId="2" borderId="11" xfId="0" applyFont="1" applyFill="1" applyBorder="1">
      <alignment vertical="center"/>
    </xf>
    <xf numFmtId="0" fontId="2" fillId="3" borderId="2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wrapText="1"/>
    </xf>
    <xf numFmtId="0" fontId="4" fillId="3" borderId="7" xfId="0" applyFont="1" applyFill="1" applyBorder="1" applyAlignment="1">
      <alignment horizontal="center" wrapText="1"/>
    </xf>
    <xf numFmtId="0" fontId="4" fillId="3" borderId="13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vertical="center"/>
    </xf>
    <xf numFmtId="0" fontId="5" fillId="3" borderId="14" xfId="0" applyFont="1" applyFill="1" applyBorder="1" applyAlignment="1">
      <alignment vertical="center" shrinkToFit="1"/>
    </xf>
    <xf numFmtId="0" fontId="5" fillId="3" borderId="14" xfId="0" applyNumberFormat="1" applyFont="1" applyFill="1" applyBorder="1" applyAlignment="1">
      <alignment vertical="center" shrinkToFit="1"/>
    </xf>
    <xf numFmtId="0" fontId="6" fillId="4" borderId="2" xfId="0" applyFont="1" applyFill="1" applyBorder="1" applyAlignment="1">
      <alignment horizontal="center" vertical="center"/>
    </xf>
    <xf numFmtId="14" fontId="5" fillId="3" borderId="14" xfId="0" applyNumberFormat="1" applyFont="1" applyFill="1" applyBorder="1" applyAlignment="1">
      <alignment horizontal="center" vertical="center"/>
    </xf>
    <xf numFmtId="14" fontId="5" fillId="3" borderId="2" xfId="0" applyNumberFormat="1" applyFont="1" applyFill="1" applyBorder="1" applyAlignment="1">
      <alignment horizontal="center" vertical="center"/>
    </xf>
    <xf numFmtId="177" fontId="5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8" fillId="5" borderId="3" xfId="10" applyFont="1" applyFill="1" applyBorder="1" applyAlignment="1">
      <alignment horizont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9" fillId="5" borderId="7" xfId="1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right" vertical="center" wrapText="1"/>
    </xf>
    <xf numFmtId="9" fontId="3" fillId="5" borderId="5" xfId="0" applyNumberFormat="1" applyFont="1" applyFill="1" applyBorder="1" applyAlignment="1">
      <alignment vertical="center" wrapText="1"/>
    </xf>
    <xf numFmtId="0" fontId="10" fillId="5" borderId="14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right" vertical="center"/>
    </xf>
    <xf numFmtId="0" fontId="10" fillId="5" borderId="4" xfId="0" applyFont="1" applyFill="1" applyBorder="1" applyAlignment="1">
      <alignment horizontal="center" vertical="center"/>
    </xf>
    <xf numFmtId="14" fontId="11" fillId="5" borderId="14" xfId="0" applyNumberFormat="1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shrinkToFit="1"/>
    </xf>
    <xf numFmtId="179" fontId="11" fillId="5" borderId="11" xfId="0" applyNumberFormat="1" applyFont="1" applyFill="1" applyBorder="1" applyAlignment="1">
      <alignment horizontal="right" vertical="center"/>
    </xf>
    <xf numFmtId="7" fontId="11" fillId="5" borderId="12" xfId="0" applyNumberFormat="1" applyFont="1" applyFill="1" applyBorder="1" applyAlignment="1">
      <alignment horizontal="right" vertical="center"/>
    </xf>
    <xf numFmtId="0" fontId="3" fillId="6" borderId="8" xfId="0" applyFont="1" applyFill="1" applyBorder="1" applyAlignment="1">
      <alignment horizontal="left" vertical="center" shrinkToFit="1"/>
    </xf>
    <xf numFmtId="0" fontId="11" fillId="5" borderId="4" xfId="0" applyFont="1" applyFill="1" applyBorder="1" applyAlignment="1">
      <alignment horizontal="left" vertical="center"/>
    </xf>
    <xf numFmtId="180" fontId="11" fillId="5" borderId="3" xfId="0" applyNumberFormat="1" applyFont="1" applyFill="1" applyBorder="1" applyAlignment="1">
      <alignment horizontal="center" vertical="center"/>
    </xf>
    <xf numFmtId="178" fontId="11" fillId="5" borderId="14" xfId="0" applyNumberFormat="1" applyFont="1" applyFill="1" applyBorder="1" applyAlignment="1">
      <alignment horizontal="right" vertical="center" wrapText="1"/>
    </xf>
    <xf numFmtId="0" fontId="11" fillId="5" borderId="2" xfId="0" applyFont="1" applyFill="1" applyBorder="1" applyAlignment="1">
      <alignment horizontal="left" vertical="center"/>
    </xf>
    <xf numFmtId="8" fontId="11" fillId="5" borderId="11" xfId="54" applyNumberFormat="1" applyFont="1" applyFill="1" applyBorder="1" applyAlignment="1" applyProtection="1">
      <alignment vertical="center"/>
    </xf>
    <xf numFmtId="8" fontId="11" fillId="5" borderId="12" xfId="54" applyNumberFormat="1" applyFont="1" applyFill="1" applyBorder="1" applyAlignment="1" applyProtection="1">
      <alignment vertical="center"/>
    </xf>
    <xf numFmtId="180" fontId="11" fillId="5" borderId="3" xfId="0" applyNumberFormat="1" applyFont="1" applyFill="1" applyBorder="1">
      <alignment vertical="center"/>
    </xf>
    <xf numFmtId="0" fontId="10" fillId="5" borderId="14" xfId="0" applyFont="1" applyFill="1" applyBorder="1" applyAlignment="1">
      <alignment horizontal="right" vertical="center"/>
    </xf>
    <xf numFmtId="181" fontId="10" fillId="5" borderId="14" xfId="0" applyNumberFormat="1" applyFont="1" applyFill="1" applyBorder="1" applyAlignment="1">
      <alignment horizontal="center" vertical="center"/>
    </xf>
    <xf numFmtId="8" fontId="11" fillId="5" borderId="2" xfId="54" applyNumberFormat="1" applyFont="1" applyFill="1" applyBorder="1" applyAlignment="1" applyProtection="1">
      <alignment vertical="center"/>
    </xf>
    <xf numFmtId="0" fontId="11" fillId="5" borderId="2" xfId="0" applyFont="1" applyFill="1" applyBorder="1" applyAlignment="1">
      <alignment vertical="center"/>
    </xf>
    <xf numFmtId="0" fontId="11" fillId="5" borderId="4" xfId="0" applyFont="1" applyFill="1" applyBorder="1" applyAlignment="1">
      <alignment vertical="center"/>
    </xf>
    <xf numFmtId="182" fontId="11" fillId="5" borderId="3" xfId="0" applyNumberFormat="1" applyFont="1" applyFill="1" applyBorder="1" applyAlignment="1">
      <alignment horizontal="center" vertical="center"/>
    </xf>
    <xf numFmtId="178" fontId="10" fillId="5" borderId="14" xfId="0" applyNumberFormat="1" applyFont="1" applyFill="1" applyBorder="1" applyAlignment="1">
      <alignment horizontal="right" vertical="center"/>
    </xf>
    <xf numFmtId="0" fontId="10" fillId="5" borderId="11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1" fillId="5" borderId="14" xfId="0" applyFont="1" applyFill="1" applyBorder="1" applyAlignment="1">
      <alignment horizontal="center" vertical="center"/>
    </xf>
    <xf numFmtId="0" fontId="12" fillId="5" borderId="14" xfId="0" applyFont="1" applyFill="1" applyBorder="1">
      <alignment vertical="center"/>
    </xf>
    <xf numFmtId="7" fontId="11" fillId="5" borderId="14" xfId="0" applyNumberFormat="1" applyFont="1" applyFill="1" applyBorder="1" applyAlignment="1">
      <alignment horizontal="right" vertical="center"/>
    </xf>
    <xf numFmtId="0" fontId="11" fillId="5" borderId="3" xfId="0" applyFont="1" applyFill="1" applyBorder="1" applyAlignment="1">
      <alignment horizontal="left" vertical="center"/>
    </xf>
    <xf numFmtId="180" fontId="11" fillId="5" borderId="2" xfId="0" applyNumberFormat="1" applyFont="1" applyFill="1" applyBorder="1" applyAlignment="1">
      <alignment horizontal="center" vertical="center"/>
    </xf>
    <xf numFmtId="178" fontId="11" fillId="5" borderId="14" xfId="0" applyNumberFormat="1" applyFont="1" applyFill="1" applyBorder="1" applyAlignment="1">
      <alignment horizontal="right" vertical="center"/>
    </xf>
    <xf numFmtId="0" fontId="13" fillId="5" borderId="14" xfId="0" applyFont="1" applyFill="1" applyBorder="1">
      <alignment vertical="center"/>
    </xf>
    <xf numFmtId="180" fontId="11" fillId="5" borderId="2" xfId="0" applyNumberFormat="1" applyFont="1" applyFill="1" applyBorder="1">
      <alignment vertical="center"/>
    </xf>
    <xf numFmtId="7" fontId="11" fillId="5" borderId="14" xfId="0" applyNumberFormat="1" applyFont="1" applyFill="1" applyBorder="1">
      <alignment vertical="center"/>
    </xf>
    <xf numFmtId="182" fontId="11" fillId="5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8" fillId="2" borderId="7" xfId="10" applyFont="1" applyFill="1" applyBorder="1" applyAlignment="1">
      <alignment horizontal="center" wrapText="1"/>
    </xf>
    <xf numFmtId="0" fontId="8" fillId="2" borderId="0" xfId="1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14" fontId="5" fillId="2" borderId="14" xfId="0" applyNumberFormat="1" applyFont="1" applyFill="1" applyBorder="1" applyAlignment="1">
      <alignment horizontal="center" vertical="center"/>
    </xf>
    <xf numFmtId="0" fontId="5" fillId="2" borderId="14" xfId="0" applyFont="1" applyFill="1" applyBorder="1">
      <alignment vertical="center"/>
    </xf>
    <xf numFmtId="183" fontId="5" fillId="2" borderId="14" xfId="0" applyNumberFormat="1" applyFont="1" applyFill="1" applyBorder="1" applyAlignment="1">
      <alignment vertical="center" wrapText="1"/>
    </xf>
    <xf numFmtId="184" fontId="5" fillId="2" borderId="14" xfId="0" applyNumberFormat="1" applyFont="1" applyFill="1" applyBorder="1" applyAlignment="1">
      <alignment vertical="center"/>
    </xf>
    <xf numFmtId="9" fontId="5" fillId="2" borderId="14" xfId="0" applyNumberFormat="1" applyFont="1" applyFill="1" applyBorder="1" applyAlignment="1">
      <alignment horizontal="center" vertical="center"/>
    </xf>
    <xf numFmtId="185" fontId="5" fillId="2" borderId="14" xfId="0" applyNumberFormat="1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179" fontId="5" fillId="2" borderId="14" xfId="0" applyNumberFormat="1" applyFont="1" applyFill="1" applyBorder="1" applyAlignment="1">
      <alignment vertical="center"/>
    </xf>
    <xf numFmtId="14" fontId="4" fillId="2" borderId="14" xfId="0" applyNumberFormat="1" applyFont="1" applyFill="1" applyBorder="1" applyAlignment="1">
      <alignment horizontal="center" vertical="center"/>
    </xf>
    <xf numFmtId="183" fontId="5" fillId="2" borderId="14" xfId="0" applyNumberFormat="1" applyFont="1" applyFill="1" applyBorder="1">
      <alignment vertical="center"/>
    </xf>
    <xf numFmtId="0" fontId="4" fillId="2" borderId="11" xfId="0" applyFont="1" applyFill="1" applyBorder="1" applyAlignment="1">
      <alignment horizontal="center" vertical="center"/>
    </xf>
    <xf numFmtId="184" fontId="4" fillId="2" borderId="14" xfId="0" applyNumberFormat="1" applyFont="1" applyFill="1" applyBorder="1" applyAlignment="1">
      <alignment horizontal="center" vertical="center"/>
    </xf>
    <xf numFmtId="14" fontId="5" fillId="2" borderId="14" xfId="0" applyNumberFormat="1" applyFont="1" applyFill="1" applyBorder="1">
      <alignment vertical="center"/>
    </xf>
    <xf numFmtId="184" fontId="5" fillId="2" borderId="14" xfId="0" applyNumberFormat="1" applyFont="1" applyFill="1" applyBorder="1">
      <alignment vertical="center"/>
    </xf>
    <xf numFmtId="9" fontId="5" fillId="2" borderId="14" xfId="0" applyNumberFormat="1" applyFont="1" applyFill="1" applyBorder="1" applyAlignment="1" applyProtection="1">
      <alignment horizontal="center" vertical="center"/>
    </xf>
    <xf numFmtId="14" fontId="5" fillId="2" borderId="11" xfId="0" applyNumberFormat="1" applyFont="1" applyFill="1" applyBorder="1" applyAlignment="1">
      <alignment vertical="center"/>
    </xf>
    <xf numFmtId="183" fontId="5" fillId="2" borderId="14" xfId="0" applyNumberFormat="1" applyFont="1" applyFill="1" applyBorder="1" applyAlignment="1">
      <alignment horizontal="right" vertical="center"/>
    </xf>
    <xf numFmtId="184" fontId="5" fillId="2" borderId="14" xfId="0" applyNumberFormat="1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left" vertical="center"/>
    </xf>
    <xf numFmtId="176" fontId="5" fillId="2" borderId="14" xfId="0" applyNumberFormat="1" applyFont="1" applyFill="1" applyBorder="1">
      <alignment vertical="center"/>
    </xf>
    <xf numFmtId="7" fontId="5" fillId="2" borderId="14" xfId="0" applyNumberFormat="1" applyFont="1" applyFill="1" applyBorder="1" applyAlignment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8" fillId="3" borderId="7" xfId="1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0" borderId="8" xfId="0" applyFont="1" applyFill="1" applyBorder="1" applyAlignment="1">
      <alignment vertical="center" wrapText="1"/>
    </xf>
    <xf numFmtId="0" fontId="1" fillId="0" borderId="0" xfId="0" applyFont="1" applyBorder="1" applyAlignment="1">
      <alignment horizontal="right" vertical="center"/>
    </xf>
    <xf numFmtId="10" fontId="5" fillId="3" borderId="14" xfId="0" applyNumberFormat="1" applyFont="1" applyFill="1" applyBorder="1" applyAlignment="1">
      <alignment horizontal="center" vertical="center"/>
    </xf>
    <xf numFmtId="176" fontId="5" fillId="3" borderId="14" xfId="0" applyNumberFormat="1" applyFont="1" applyFill="1" applyBorder="1" applyAlignment="1">
      <alignment horizontal="center" vertical="center"/>
    </xf>
    <xf numFmtId="176" fontId="5" fillId="3" borderId="2" xfId="0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vertical="center"/>
    </xf>
    <xf numFmtId="0" fontId="2" fillId="0" borderId="0" xfId="0" applyFont="1">
      <alignment vertical="center"/>
    </xf>
    <xf numFmtId="0" fontId="5" fillId="3" borderId="14" xfId="0" applyFont="1" applyFill="1" applyBorder="1" applyAlignment="1">
      <alignment horizontal="left" vertical="center"/>
    </xf>
    <xf numFmtId="10" fontId="5" fillId="3" borderId="14" xfId="0" applyNumberFormat="1" applyFont="1" applyFill="1" applyBorder="1" applyAlignment="1">
      <alignment horizontal="right" vertical="center"/>
    </xf>
    <xf numFmtId="176" fontId="5" fillId="3" borderId="14" xfId="0" applyNumberFormat="1" applyFont="1" applyFill="1" applyBorder="1">
      <alignment vertical="center"/>
    </xf>
    <xf numFmtId="176" fontId="5" fillId="3" borderId="2" xfId="0" applyNumberFormat="1" applyFont="1" applyFill="1" applyBorder="1" applyAlignment="1">
      <alignment vertical="center"/>
    </xf>
    <xf numFmtId="0" fontId="1" fillId="0" borderId="2" xfId="0" applyNumberFormat="1" applyFont="1" applyFill="1" applyBorder="1" applyAlignment="1" applyProtection="1">
      <alignment vertical="center"/>
    </xf>
    <xf numFmtId="178" fontId="11" fillId="0" borderId="14" xfId="0" applyNumberFormat="1" applyFont="1" applyFill="1" applyBorder="1" applyAlignment="1" applyProtection="1">
      <alignment vertical="center"/>
    </xf>
    <xf numFmtId="14" fontId="1" fillId="0" borderId="2" xfId="0" applyNumberFormat="1" applyFont="1" applyFill="1" applyBorder="1" applyAlignment="1" applyProtection="1">
      <alignment vertical="center"/>
    </xf>
    <xf numFmtId="0" fontId="1" fillId="0" borderId="14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178" fontId="14" fillId="0" borderId="0" xfId="0" applyNumberFormat="1" applyFont="1" applyFill="1" applyBorder="1" applyAlignment="1" applyProtection="1">
      <alignment vertical="center"/>
    </xf>
    <xf numFmtId="185" fontId="7" fillId="3" borderId="14" xfId="0" applyNumberFormat="1" applyFont="1" applyFill="1" applyBorder="1" applyAlignment="1">
      <alignment horizontal="right" vertical="center" shrinkToFit="1"/>
    </xf>
    <xf numFmtId="176" fontId="5" fillId="3" borderId="14" xfId="0" applyNumberFormat="1" applyFont="1" applyFill="1" applyBorder="1" applyAlignment="1">
      <alignment vertical="center"/>
    </xf>
    <xf numFmtId="10" fontId="5" fillId="3" borderId="14" xfId="0" applyNumberFormat="1" applyFont="1" applyFill="1" applyBorder="1">
      <alignment vertical="center"/>
    </xf>
    <xf numFmtId="0" fontId="15" fillId="0" borderId="14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10" fontId="16" fillId="3" borderId="14" xfId="0" applyNumberFormat="1" applyFont="1" applyFill="1" applyBorder="1" applyAlignment="1">
      <alignment horizontal="center" vertical="center"/>
    </xf>
    <xf numFmtId="177" fontId="1" fillId="2" borderId="5" xfId="0" applyNumberFormat="1" applyFont="1" applyFill="1" applyBorder="1">
      <alignment vertical="center"/>
    </xf>
    <xf numFmtId="14" fontId="1" fillId="2" borderId="10" xfId="0" applyNumberFormat="1" applyFont="1" applyFill="1" applyBorder="1">
      <alignment vertical="center"/>
    </xf>
    <xf numFmtId="177" fontId="1" fillId="2" borderId="10" xfId="0" applyNumberFormat="1" applyFont="1" applyFill="1" applyBorder="1">
      <alignment vertical="center"/>
    </xf>
    <xf numFmtId="14" fontId="3" fillId="2" borderId="10" xfId="0" applyNumberFormat="1" applyFont="1" applyFill="1" applyBorder="1" applyAlignment="1">
      <alignment vertical="center" wrapText="1"/>
    </xf>
    <xf numFmtId="177" fontId="3" fillId="2" borderId="10" xfId="0" applyNumberFormat="1" applyFont="1" applyFill="1" applyBorder="1" applyAlignment="1">
      <alignment vertical="center" wrapText="1"/>
    </xf>
    <xf numFmtId="0" fontId="3" fillId="2" borderId="15" xfId="0" applyFont="1" applyFill="1" applyBorder="1" applyAlignment="1">
      <alignment vertical="center" wrapText="1"/>
    </xf>
    <xf numFmtId="177" fontId="3" fillId="2" borderId="15" xfId="0" applyNumberFormat="1" applyFont="1" applyFill="1" applyBorder="1" applyAlignment="1">
      <alignment vertical="center" wrapText="1"/>
    </xf>
    <xf numFmtId="0" fontId="4" fillId="3" borderId="5" xfId="0" applyFont="1" applyFill="1" applyBorder="1" applyAlignment="1">
      <alignment horizontal="center" wrapText="1"/>
    </xf>
    <xf numFmtId="0" fontId="5" fillId="3" borderId="14" xfId="0" applyFont="1" applyFill="1" applyBorder="1" applyAlignment="1">
      <alignment horizontal="center" vertical="center" shrinkToFit="1"/>
    </xf>
    <xf numFmtId="177" fontId="1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58" fontId="1" fillId="0" borderId="0" xfId="0" applyNumberFormat="1" applyFont="1">
      <alignment vertical="center"/>
    </xf>
    <xf numFmtId="0" fontId="1" fillId="0" borderId="0" xfId="0" applyFont="1" applyAlignment="1">
      <alignment vertical="center" shrinkToFit="1"/>
    </xf>
    <xf numFmtId="179" fontId="1" fillId="0" borderId="0" xfId="0" applyNumberFormat="1" applyFont="1" applyAlignment="1">
      <alignment vertical="center" shrinkToFit="1"/>
    </xf>
    <xf numFmtId="0" fontId="17" fillId="0" borderId="0" xfId="0" applyFont="1">
      <alignment vertical="center"/>
    </xf>
    <xf numFmtId="0" fontId="18" fillId="0" borderId="0" xfId="0" applyFont="1" applyFill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15" fillId="0" borderId="0" xfId="0" applyFont="1">
      <alignment vertical="center"/>
    </xf>
    <xf numFmtId="0" fontId="15" fillId="0" borderId="14" xfId="0" applyFont="1" applyBorder="1">
      <alignment vertical="center"/>
    </xf>
    <xf numFmtId="176" fontId="15" fillId="0" borderId="14" xfId="0" applyNumberFormat="1" applyFont="1" applyBorder="1">
      <alignment vertical="center"/>
    </xf>
    <xf numFmtId="0" fontId="20" fillId="0" borderId="0" xfId="0" applyFont="1">
      <alignment vertical="center"/>
    </xf>
    <xf numFmtId="176" fontId="20" fillId="0" borderId="0" xfId="0" applyNumberFormat="1" applyFont="1">
      <alignment vertical="center"/>
    </xf>
    <xf numFmtId="0" fontId="21" fillId="0" borderId="0" xfId="0" applyFont="1" applyBorder="1" applyAlignment="1">
      <alignment horizontal="center" vertical="center"/>
    </xf>
    <xf numFmtId="0" fontId="1" fillId="0" borderId="0" xfId="0" applyFont="1" applyBorder="1">
      <alignment vertical="center"/>
    </xf>
    <xf numFmtId="0" fontId="18" fillId="0" borderId="0" xfId="0" applyFont="1" applyBorder="1" applyAlignment="1">
      <alignment horizontal="center" vertical="center" wrapText="1"/>
    </xf>
    <xf numFmtId="185" fontId="1" fillId="0" borderId="0" xfId="0" applyNumberFormat="1" applyFont="1" applyBorder="1">
      <alignment vertical="center"/>
    </xf>
    <xf numFmtId="0" fontId="22" fillId="3" borderId="14" xfId="0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center" vertical="center"/>
    </xf>
    <xf numFmtId="176" fontId="2" fillId="0" borderId="8" xfId="0" applyNumberFormat="1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176" fontId="1" fillId="0" borderId="0" xfId="0" applyNumberFormat="1" applyFont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77" fontId="1" fillId="0" borderId="14" xfId="0" applyNumberFormat="1" applyFont="1" applyBorder="1">
      <alignment vertical="center"/>
    </xf>
    <xf numFmtId="177" fontId="1" fillId="0" borderId="3" xfId="0" applyNumberFormat="1" applyFont="1" applyBorder="1">
      <alignment vertical="center"/>
    </xf>
    <xf numFmtId="176" fontId="1" fillId="0" borderId="0" xfId="0" applyNumberFormat="1" applyFont="1" applyBorder="1" applyAlignment="1">
      <alignment horizontal="left" vertical="center"/>
    </xf>
    <xf numFmtId="14" fontId="15" fillId="0" borderId="14" xfId="0" applyNumberFormat="1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23" fillId="0" borderId="14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0" fontId="1" fillId="0" borderId="0" xfId="0" applyNumberFormat="1" applyFont="1">
      <alignment vertical="center"/>
    </xf>
    <xf numFmtId="176" fontId="15" fillId="0" borderId="14" xfId="0" applyNumberFormat="1" applyFont="1" applyBorder="1" applyAlignment="1">
      <alignment horizontal="right" vertical="center"/>
    </xf>
    <xf numFmtId="176" fontId="15" fillId="0" borderId="7" xfId="0" applyNumberFormat="1" applyFont="1" applyFill="1" applyBorder="1" applyAlignment="1">
      <alignment horizontal="right" vertical="center"/>
    </xf>
    <xf numFmtId="9" fontId="1" fillId="0" borderId="0" xfId="0" applyNumberFormat="1" applyFont="1" applyAlignment="1">
      <alignment horizontal="right" vertical="center"/>
    </xf>
  </cellXfs>
  <cellStyles count="56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常规 5 2" xfId="18"/>
    <cellStyle name="标题" xfId="19" builtinId="15"/>
    <cellStyle name="解释性文本" xfId="20" builtinId="53"/>
    <cellStyle name="标题 1" xfId="21" builtinId="16"/>
    <cellStyle name="标题 2" xfId="22" builtinId="17"/>
    <cellStyle name="60% - 强调文字颜色 1" xfId="23" builtinId="32"/>
    <cellStyle name="标题 3" xfId="24" builtinId="18"/>
    <cellStyle name="60% - 强调文字颜色 4" xfId="25" builtinId="44"/>
    <cellStyle name="输出" xfId="26" builtinId="21"/>
    <cellStyle name="计算" xfId="27" builtinId="22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常规_Sheet2" xfId="32"/>
    <cellStyle name="汇总" xfId="33" builtinId="25"/>
    <cellStyle name="好" xfId="34" builtinId="26"/>
    <cellStyle name="适中" xfId="35" builtinId="28"/>
    <cellStyle name="20% - 强调文字颜色 5" xfId="36" builtinId="46"/>
    <cellStyle name="强调文字颜色 1" xfId="37" builtinId="29"/>
    <cellStyle name="20% - 强调文字颜色 1" xfId="38" builtinId="30"/>
    <cellStyle name="40% - 强调文字颜色 1" xfId="39" builtinId="31"/>
    <cellStyle name="20% - 强调文字颜色 2" xfId="40" builtinId="34"/>
    <cellStyle name="40% - 强调文字颜色 2" xfId="41" builtinId="35"/>
    <cellStyle name="强调文字颜色 3" xfId="42" builtinId="37"/>
    <cellStyle name="强调文字颜色 4" xfId="43" builtinId="41"/>
    <cellStyle name="20% - 强调文字颜色 4" xfId="44" builtinId="42"/>
    <cellStyle name="40% - 强调文字颜色 4" xfId="45" builtinId="43"/>
    <cellStyle name="强调文字颜色 5" xfId="46" builtinId="45"/>
    <cellStyle name="40% - 强调文字颜色 5" xfId="47" builtinId="47"/>
    <cellStyle name="60% - 强调文字颜色 5" xfId="48" builtinId="48"/>
    <cellStyle name="强调文字颜色 6" xfId="49" builtinId="49"/>
    <cellStyle name="40% - 强调文字颜色 6" xfId="50" builtinId="51"/>
    <cellStyle name="60% - 强调文字颜色 6" xfId="51" builtinId="52"/>
    <cellStyle name="常规 2" xfId="52"/>
    <cellStyle name="常规 5" xfId="53"/>
    <cellStyle name="常规_Sheet1" xfId="54"/>
    <cellStyle name="常规_Sheet1_3" xfId="55"/>
  </cellStyles>
  <tableStyles count="0" defaultTableStyle="TableStyleMedium2" defaultPivotStyle="PivotStyleLight16"/>
  <colors>
    <mruColors>
      <color rgb="00FFFF00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78740</xdr:colOff>
          <xdr:row>63</xdr:row>
          <xdr:rowOff>63500</xdr:rowOff>
        </xdr:from>
        <xdr:to>
          <xdr:col>4</xdr:col>
          <xdr:colOff>1012190</xdr:colOff>
          <xdr:row>64</xdr:row>
          <xdr:rowOff>85090</xdr:rowOff>
        </xdr:to>
        <xdr:sp macro="[0]!暂估利润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4099560" y="14085570"/>
              <a:ext cx="933450" cy="238760"/>
            </a:xfrm>
            <a:prstGeom prst="rect">
              <a:avLst/>
            </a:prstGeom>
          </xdr:spPr>
          <xdr:txBody>
            <a:bodyPr vertOverflow="clip" vert="horz" wrap="square" lIns="36576" tIns="32004" rIns="36576" bIns="32004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暂估利润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</xdr:colOff>
          <xdr:row>64</xdr:row>
          <xdr:rowOff>128270</xdr:rowOff>
        </xdr:from>
        <xdr:to>
          <xdr:col>4</xdr:col>
          <xdr:colOff>1003935</xdr:colOff>
          <xdr:row>65</xdr:row>
          <xdr:rowOff>118745</xdr:rowOff>
        </xdr:to>
        <xdr:sp macro="[0]!估算定型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4091305" y="14367510"/>
              <a:ext cx="933450" cy="207645"/>
            </a:xfrm>
            <a:prstGeom prst="rect">
              <a:avLst/>
            </a:prstGeom>
          </xdr:spPr>
          <xdr:txBody>
            <a:bodyPr vertOverflow="clip" vert="horz" wrap="square" lIns="36576" tIns="32004" rIns="36576" bIns="32004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估算定型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39370</xdr:colOff>
          <xdr:row>60</xdr:row>
          <xdr:rowOff>162560</xdr:rowOff>
        </xdr:from>
        <xdr:to>
          <xdr:col>6</xdr:col>
          <xdr:colOff>752475</xdr:colOff>
          <xdr:row>61</xdr:row>
          <xdr:rowOff>191135</xdr:rowOff>
        </xdr:to>
        <xdr:sp macro="[0]!简报功能.数量简报">
          <xdr:nvSpPr>
            <xdr:cNvPr id="3112" name="Button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6598285" y="13521690"/>
              <a:ext cx="713105" cy="249555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提数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</xdr:colOff>
          <xdr:row>20</xdr:row>
          <xdr:rowOff>201295</xdr:rowOff>
        </xdr:from>
        <xdr:to>
          <xdr:col>3</xdr:col>
          <xdr:colOff>516255</xdr:colOff>
          <xdr:row>22</xdr:row>
          <xdr:rowOff>40640</xdr:rowOff>
        </xdr:to>
        <xdr:sp>
          <xdr:nvSpPr>
            <xdr:cNvPr id="3135" name="付款按钮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2893695" y="4678045"/>
              <a:ext cx="471170" cy="2660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150495</xdr:colOff>
          <xdr:row>39</xdr:row>
          <xdr:rowOff>154305</xdr:rowOff>
        </xdr:from>
        <xdr:to>
          <xdr:col>9</xdr:col>
          <xdr:colOff>1129030</xdr:colOff>
          <xdr:row>40</xdr:row>
          <xdr:rowOff>159385</xdr:rowOff>
        </xdr:to>
        <xdr:sp macro="[0]!按首列排序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10286365" y="8753475"/>
              <a:ext cx="978535" cy="226060"/>
            </a:xfrm>
            <a:prstGeom prst="rect">
              <a:avLst/>
            </a:prstGeom>
          </xdr:spPr>
          <xdr:txBody>
            <a:bodyPr vertOverflow="clip" vert="horz" wrap="square" lIns="36576" tIns="32004" rIns="36576" bIns="32004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排序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  <a:p>
              <a:pPr algn="ctr" rtl="0">
                <a:defRPr sz="1000"/>
              </a:pPr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排序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706755</xdr:colOff>
          <xdr:row>29</xdr:row>
          <xdr:rowOff>55245</xdr:rowOff>
        </xdr:from>
        <xdr:to>
          <xdr:col>13</xdr:col>
          <xdr:colOff>224155</xdr:colOff>
          <xdr:row>30</xdr:row>
          <xdr:rowOff>60325</xdr:rowOff>
        </xdr:to>
        <xdr:sp macro="[0]!向总台账录入记录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13099415" y="6490335"/>
              <a:ext cx="1002665" cy="21082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200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录入总台账</a:t>
              </a:r>
              <a:endParaRPr lang="zh-CN" altLang="en-US" sz="1200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</xdr:colOff>
          <xdr:row>29</xdr:row>
          <xdr:rowOff>172720</xdr:rowOff>
        </xdr:from>
        <xdr:to>
          <xdr:col>3</xdr:col>
          <xdr:colOff>499110</xdr:colOff>
          <xdr:row>31</xdr:row>
          <xdr:rowOff>20955</xdr:rowOff>
        </xdr:to>
        <xdr:sp>
          <xdr:nvSpPr>
            <xdr:cNvPr id="3220" name="收款按钮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2893695" y="6607810"/>
              <a:ext cx="454025" cy="25971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1039495</xdr:colOff>
          <xdr:row>7</xdr:row>
          <xdr:rowOff>43815</xdr:rowOff>
        </xdr:from>
        <xdr:to>
          <xdr:col>7</xdr:col>
          <xdr:colOff>115570</xdr:colOff>
          <xdr:row>7</xdr:row>
          <xdr:rowOff>292100</xdr:rowOff>
        </xdr:to>
        <xdr:sp>
          <xdr:nvSpPr>
            <xdr:cNvPr id="3221" name="进口信息加一列按钮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7598410" y="1746885"/>
              <a:ext cx="333375" cy="24828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122555</xdr:colOff>
          <xdr:row>7</xdr:row>
          <xdr:rowOff>34290</xdr:rowOff>
        </xdr:from>
        <xdr:to>
          <xdr:col>7</xdr:col>
          <xdr:colOff>481965</xdr:colOff>
          <xdr:row>7</xdr:row>
          <xdr:rowOff>291465</xdr:rowOff>
        </xdr:to>
        <xdr:sp>
          <xdr:nvSpPr>
            <xdr:cNvPr id="3222" name="进口信息减一列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7938770" y="1737360"/>
              <a:ext cx="35941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908050</xdr:colOff>
          <xdr:row>7</xdr:row>
          <xdr:rowOff>29210</xdr:rowOff>
        </xdr:from>
        <xdr:to>
          <xdr:col>9</xdr:col>
          <xdr:colOff>216535</xdr:colOff>
          <xdr:row>7</xdr:row>
          <xdr:rowOff>279400</xdr:rowOff>
        </xdr:to>
        <xdr:sp>
          <xdr:nvSpPr>
            <xdr:cNvPr id="3223" name="成本信息加一列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9981565" y="1732280"/>
              <a:ext cx="370840" cy="2501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214630</xdr:colOff>
          <xdr:row>7</xdr:row>
          <xdr:rowOff>35560</xdr:rowOff>
        </xdr:from>
        <xdr:to>
          <xdr:col>9</xdr:col>
          <xdr:colOff>561975</xdr:colOff>
          <xdr:row>7</xdr:row>
          <xdr:rowOff>271780</xdr:rowOff>
        </xdr:to>
        <xdr:sp>
          <xdr:nvSpPr>
            <xdr:cNvPr id="3224" name="成本信息减一列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10350500" y="1738630"/>
              <a:ext cx="347345" cy="2362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7</xdr:row>
          <xdr:rowOff>22860</xdr:rowOff>
        </xdr:from>
        <xdr:to>
          <xdr:col>6</xdr:col>
          <xdr:colOff>327660</xdr:colOff>
          <xdr:row>7</xdr:row>
          <xdr:rowOff>297180</xdr:rowOff>
        </xdr:to>
        <xdr:sp>
          <xdr:nvSpPr>
            <xdr:cNvPr id="3226" name="从进口数据汇总表中取数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6415405" y="1725930"/>
              <a:ext cx="471170" cy="2743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632460</xdr:colOff>
          <xdr:row>7</xdr:row>
          <xdr:rowOff>60960</xdr:rowOff>
        </xdr:from>
        <xdr:to>
          <xdr:col>11</xdr:col>
          <xdr:colOff>407670</xdr:colOff>
          <xdr:row>8</xdr:row>
          <xdr:rowOff>38100</xdr:rowOff>
        </xdr:to>
        <xdr:sp>
          <xdr:nvSpPr>
            <xdr:cNvPr id="3228" name="成本信息写入公式按钮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11930380" y="1764030"/>
              <a:ext cx="941070" cy="2819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754380</xdr:colOff>
          <xdr:row>7</xdr:row>
          <xdr:rowOff>53340</xdr:rowOff>
        </xdr:from>
        <xdr:to>
          <xdr:col>10</xdr:col>
          <xdr:colOff>554355</xdr:colOff>
          <xdr:row>8</xdr:row>
          <xdr:rowOff>22860</xdr:rowOff>
        </xdr:to>
        <xdr:sp>
          <xdr:nvSpPr>
            <xdr:cNvPr id="3229" name="成本信息取数按钮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10890250" y="1756410"/>
              <a:ext cx="962025" cy="2743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859790</xdr:colOff>
          <xdr:row>12</xdr:row>
          <xdr:rowOff>125730</xdr:rowOff>
        </xdr:from>
        <xdr:to>
          <xdr:col>10</xdr:col>
          <xdr:colOff>890270</xdr:colOff>
          <xdr:row>13</xdr:row>
          <xdr:rowOff>211455</xdr:rowOff>
        </xdr:to>
        <xdr:sp>
          <xdr:nvSpPr>
            <xdr:cNvPr id="3230" name="数据搬移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10995660" y="2948940"/>
              <a:ext cx="1192530" cy="3067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51</xdr:row>
          <xdr:rowOff>120015</xdr:rowOff>
        </xdr:from>
        <xdr:to>
          <xdr:col>4</xdr:col>
          <xdr:colOff>1178560</xdr:colOff>
          <xdr:row>52</xdr:row>
          <xdr:rowOff>211455</xdr:rowOff>
        </xdr:to>
        <xdr:sp>
          <xdr:nvSpPr>
            <xdr:cNvPr id="3231" name="打开数据同步窗口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4065270" y="11490325"/>
              <a:ext cx="113411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859790</xdr:colOff>
          <xdr:row>14</xdr:row>
          <xdr:rowOff>3810</xdr:rowOff>
        </xdr:from>
        <xdr:to>
          <xdr:col>10</xdr:col>
          <xdr:colOff>909320</xdr:colOff>
          <xdr:row>15</xdr:row>
          <xdr:rowOff>88265</xdr:rowOff>
        </xdr:to>
        <xdr:sp>
          <xdr:nvSpPr>
            <xdr:cNvPr id="3232" name="初始化加载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10995660" y="3268980"/>
              <a:ext cx="121158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859790</xdr:colOff>
          <xdr:row>18</xdr:row>
          <xdr:rowOff>52070</xdr:rowOff>
        </xdr:from>
        <xdr:to>
          <xdr:col>10</xdr:col>
          <xdr:colOff>918845</xdr:colOff>
          <xdr:row>19</xdr:row>
          <xdr:rowOff>70485</xdr:rowOff>
        </xdr:to>
        <xdr:sp>
          <xdr:nvSpPr>
            <xdr:cNvPr id="3233" name="统计入库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10995660" y="4132580"/>
              <a:ext cx="1221105" cy="2165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81280</xdr:colOff>
          <xdr:row>25</xdr:row>
          <xdr:rowOff>71755</xdr:rowOff>
        </xdr:from>
        <xdr:to>
          <xdr:col>10</xdr:col>
          <xdr:colOff>54610</xdr:colOff>
          <xdr:row>26</xdr:row>
          <xdr:rowOff>151765</xdr:rowOff>
        </xdr:to>
        <xdr:sp>
          <xdr:nvSpPr>
            <xdr:cNvPr id="3234" name="打开清除信息窗口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10217150" y="5638165"/>
              <a:ext cx="1135380" cy="3009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105410</xdr:colOff>
          <xdr:row>33</xdr:row>
          <xdr:rowOff>119380</xdr:rowOff>
        </xdr:from>
        <xdr:to>
          <xdr:col>10</xdr:col>
          <xdr:colOff>71755</xdr:colOff>
          <xdr:row>36</xdr:row>
          <xdr:rowOff>113030</xdr:rowOff>
        </xdr:to>
        <xdr:sp>
          <xdr:nvSpPr>
            <xdr:cNvPr id="3235" name="一键开所有按钮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10241280" y="7392670"/>
              <a:ext cx="1128395" cy="6565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206375</xdr:colOff>
          <xdr:row>33</xdr:row>
          <xdr:rowOff>112395</xdr:rowOff>
        </xdr:from>
        <xdr:to>
          <xdr:col>11</xdr:col>
          <xdr:colOff>156210</xdr:colOff>
          <xdr:row>36</xdr:row>
          <xdr:rowOff>106045</xdr:rowOff>
        </xdr:to>
        <xdr:sp>
          <xdr:nvSpPr>
            <xdr:cNvPr id="3236" name="一键关所有按钮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11504295" y="7385685"/>
              <a:ext cx="1115695" cy="6565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227330</xdr:colOff>
          <xdr:row>22</xdr:row>
          <xdr:rowOff>186690</xdr:rowOff>
        </xdr:from>
        <xdr:to>
          <xdr:col>11</xdr:col>
          <xdr:colOff>177165</xdr:colOff>
          <xdr:row>25</xdr:row>
          <xdr:rowOff>180340</xdr:rowOff>
        </xdr:to>
        <xdr:sp>
          <xdr:nvSpPr>
            <xdr:cNvPr id="3237" name="去文件夹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11525250" y="5090160"/>
              <a:ext cx="1115695" cy="6565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</xdr:colOff>
          <xdr:row>49</xdr:row>
          <xdr:rowOff>325755</xdr:rowOff>
        </xdr:from>
        <xdr:to>
          <xdr:col>4</xdr:col>
          <xdr:colOff>1198245</xdr:colOff>
          <xdr:row>51</xdr:row>
          <xdr:rowOff>80645</xdr:rowOff>
        </xdr:to>
        <xdr:sp>
          <xdr:nvSpPr>
            <xdr:cNvPr id="3239" name="测算利润按钮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4079240" y="11119485"/>
              <a:ext cx="1139825" cy="33147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</xdr:colOff>
          <xdr:row>55</xdr:row>
          <xdr:rowOff>121920</xdr:rowOff>
        </xdr:from>
        <xdr:to>
          <xdr:col>4</xdr:col>
          <xdr:colOff>868045</xdr:colOff>
          <xdr:row>56</xdr:row>
          <xdr:rowOff>163830</xdr:rowOff>
        </xdr:to>
        <xdr:sp>
          <xdr:nvSpPr>
            <xdr:cNvPr id="3240" name="已完结按钮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4079240" y="12376150"/>
              <a:ext cx="809625" cy="2628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</xdr:colOff>
          <xdr:row>56</xdr:row>
          <xdr:rowOff>174625</xdr:rowOff>
        </xdr:from>
        <xdr:to>
          <xdr:col>4</xdr:col>
          <xdr:colOff>868045</xdr:colOff>
          <xdr:row>57</xdr:row>
          <xdr:rowOff>217170</xdr:rowOff>
        </xdr:to>
        <xdr:sp>
          <xdr:nvSpPr>
            <xdr:cNvPr id="3241" name="未完结按钮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4079240" y="12649835"/>
              <a:ext cx="809625" cy="263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893445</xdr:colOff>
          <xdr:row>29</xdr:row>
          <xdr:rowOff>175895</xdr:rowOff>
        </xdr:from>
        <xdr:to>
          <xdr:col>7</xdr:col>
          <xdr:colOff>4445</xdr:colOff>
          <xdr:row>31</xdr:row>
          <xdr:rowOff>16510</xdr:rowOff>
        </xdr:to>
        <xdr:sp>
          <xdr:nvSpPr>
            <xdr:cNvPr id="3242" name="去放货文件夹按钮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7452360" y="6610985"/>
              <a:ext cx="368300" cy="2520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1238250</xdr:colOff>
          <xdr:row>37</xdr:row>
          <xdr:rowOff>201930</xdr:rowOff>
        </xdr:from>
        <xdr:to>
          <xdr:col>8</xdr:col>
          <xdr:colOff>1024255</xdr:colOff>
          <xdr:row>39</xdr:row>
          <xdr:rowOff>19050</xdr:rowOff>
        </xdr:to>
        <xdr:sp>
          <xdr:nvSpPr>
            <xdr:cNvPr id="3244" name="计算不含税金额按钮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9054465" y="8359140"/>
              <a:ext cx="1043305" cy="2590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297180</xdr:colOff>
          <xdr:row>37</xdr:row>
          <xdr:rowOff>215265</xdr:rowOff>
        </xdr:from>
        <xdr:to>
          <xdr:col>6</xdr:col>
          <xdr:colOff>815975</xdr:colOff>
          <xdr:row>39</xdr:row>
          <xdr:rowOff>29210</xdr:rowOff>
        </xdr:to>
        <xdr:sp>
          <xdr:nvSpPr>
            <xdr:cNvPr id="3245" name="打开开票按钮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6856095" y="8372475"/>
              <a:ext cx="518795" cy="2559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946150</xdr:colOff>
          <xdr:row>37</xdr:row>
          <xdr:rowOff>215265</xdr:rowOff>
        </xdr:from>
        <xdr:to>
          <xdr:col>7</xdr:col>
          <xdr:colOff>207645</xdr:colOff>
          <xdr:row>39</xdr:row>
          <xdr:rowOff>29210</xdr:rowOff>
        </xdr:to>
        <xdr:sp>
          <xdr:nvSpPr>
            <xdr:cNvPr id="3246" name="打开入库窗口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7505065" y="8372475"/>
              <a:ext cx="518795" cy="2559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337820</xdr:colOff>
          <xdr:row>37</xdr:row>
          <xdr:rowOff>215265</xdr:rowOff>
        </xdr:from>
        <xdr:to>
          <xdr:col>7</xdr:col>
          <xdr:colOff>988695</xdr:colOff>
          <xdr:row>39</xdr:row>
          <xdr:rowOff>29210</xdr:rowOff>
        </xdr:to>
        <xdr:sp>
          <xdr:nvSpPr>
            <xdr:cNvPr id="3247" name="打开ERP台账按钮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8154035" y="8372475"/>
              <a:ext cx="650875" cy="2559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</xdr:colOff>
          <xdr:row>10</xdr:row>
          <xdr:rowOff>195580</xdr:rowOff>
        </xdr:from>
        <xdr:to>
          <xdr:col>2</xdr:col>
          <xdr:colOff>967740</xdr:colOff>
          <xdr:row>12</xdr:row>
          <xdr:rowOff>15875</xdr:rowOff>
        </xdr:to>
        <xdr:sp>
          <xdr:nvSpPr>
            <xdr:cNvPr id="3248" name="打开货代文件夹按钮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1864995" y="2599690"/>
              <a:ext cx="951230" cy="2393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859790</xdr:colOff>
          <xdr:row>16</xdr:row>
          <xdr:rowOff>162560</xdr:rowOff>
        </xdr:from>
        <xdr:to>
          <xdr:col>10</xdr:col>
          <xdr:colOff>909320</xdr:colOff>
          <xdr:row>18</xdr:row>
          <xdr:rowOff>71755</xdr:rowOff>
        </xdr:to>
        <xdr:sp>
          <xdr:nvSpPr>
            <xdr:cNvPr id="3249" name="按年份汇总合同按钮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10995660" y="3846830"/>
              <a:ext cx="121158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227330</xdr:colOff>
          <xdr:row>26</xdr:row>
          <xdr:rowOff>97790</xdr:rowOff>
        </xdr:from>
        <xdr:to>
          <xdr:col>11</xdr:col>
          <xdr:colOff>170180</xdr:colOff>
          <xdr:row>27</xdr:row>
          <xdr:rowOff>177165</xdr:rowOff>
        </xdr:to>
        <xdr:sp>
          <xdr:nvSpPr>
            <xdr:cNvPr id="3250" name="合同执行报表按钮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11525250" y="5885180"/>
              <a:ext cx="1108710" cy="3003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67310</xdr:colOff>
          <xdr:row>27</xdr:row>
          <xdr:rowOff>118110</xdr:rowOff>
        </xdr:from>
        <xdr:to>
          <xdr:col>10</xdr:col>
          <xdr:colOff>62230</xdr:colOff>
          <xdr:row>28</xdr:row>
          <xdr:rowOff>196215</xdr:rowOff>
        </xdr:to>
        <xdr:sp>
          <xdr:nvSpPr>
            <xdr:cNvPr id="3251" name="计算利息按钮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10203180" y="6126480"/>
              <a:ext cx="1156970" cy="29908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78740</xdr:colOff>
          <xdr:row>22</xdr:row>
          <xdr:rowOff>175895</xdr:rowOff>
        </xdr:from>
        <xdr:to>
          <xdr:col>10</xdr:col>
          <xdr:colOff>59055</xdr:colOff>
          <xdr:row>24</xdr:row>
          <xdr:rowOff>191770</xdr:rowOff>
        </xdr:to>
        <xdr:sp>
          <xdr:nvSpPr>
            <xdr:cNvPr id="3252" name="check_数据完整性按钮" hidden="1">
              <a:extLst>
                <a:ext uri="{63B3BB69-23CF-44E3-9099-C40C66FF867C}">
                  <a14:compatExt spid="_x0000_s3252"/>
                </a:ext>
              </a:extLst>
            </xdr:cNvPr>
            <xdr:cNvSpPr/>
          </xdr:nvSpPr>
          <xdr:spPr>
            <a:xfrm>
              <a:off x="10214610" y="5079365"/>
              <a:ext cx="1142365" cy="4578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</xdr:colOff>
          <xdr:row>59</xdr:row>
          <xdr:rowOff>78105</xdr:rowOff>
        </xdr:from>
        <xdr:to>
          <xdr:col>4</xdr:col>
          <xdr:colOff>1158875</xdr:colOff>
          <xdr:row>60</xdr:row>
          <xdr:rowOff>169545</xdr:rowOff>
        </xdr:to>
        <xdr:sp>
          <xdr:nvSpPr>
            <xdr:cNvPr id="3253" name="拆分全部结算按钮" hidden="1">
              <a:extLst>
                <a:ext uri="{63B3BB69-23CF-44E3-9099-C40C66FF867C}">
                  <a14:compatExt spid="_x0000_s3253"/>
                </a:ext>
              </a:extLst>
            </xdr:cNvPr>
            <xdr:cNvSpPr/>
          </xdr:nvSpPr>
          <xdr:spPr>
            <a:xfrm>
              <a:off x="4045585" y="13216255"/>
              <a:ext cx="113411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177165</xdr:rowOff>
        </xdr:from>
        <xdr:to>
          <xdr:col>4</xdr:col>
          <xdr:colOff>1172210</xdr:colOff>
          <xdr:row>62</xdr:row>
          <xdr:rowOff>47625</xdr:rowOff>
        </xdr:to>
        <xdr:sp>
          <xdr:nvSpPr>
            <xdr:cNvPr id="3254" name="拆分单个结算按钮" hidden="1">
              <a:extLst>
                <a:ext uri="{63B3BB69-23CF-44E3-9099-C40C66FF867C}">
                  <a14:compatExt spid="_x0000_s3254"/>
                </a:ext>
              </a:extLst>
            </xdr:cNvPr>
            <xdr:cNvSpPr/>
          </xdr:nvSpPr>
          <xdr:spPr>
            <a:xfrm>
              <a:off x="4058920" y="13536295"/>
              <a:ext cx="113411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227330</xdr:colOff>
          <xdr:row>27</xdr:row>
          <xdr:rowOff>184150</xdr:rowOff>
        </xdr:from>
        <xdr:to>
          <xdr:col>11</xdr:col>
          <xdr:colOff>170180</xdr:colOff>
          <xdr:row>29</xdr:row>
          <xdr:rowOff>57785</xdr:rowOff>
        </xdr:to>
        <xdr:sp>
          <xdr:nvSpPr>
            <xdr:cNvPr id="3255" name="生产应收报表按钮" hidden="1">
              <a:extLst>
                <a:ext uri="{63B3BB69-23CF-44E3-9099-C40C66FF867C}">
                  <a14:compatExt spid="_x0000_s3255"/>
                </a:ext>
              </a:extLst>
            </xdr:cNvPr>
            <xdr:cNvSpPr/>
          </xdr:nvSpPr>
          <xdr:spPr>
            <a:xfrm>
              <a:off x="11525250" y="6192520"/>
              <a:ext cx="1108710" cy="3003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227330</xdr:colOff>
          <xdr:row>29</xdr:row>
          <xdr:rowOff>71120</xdr:rowOff>
        </xdr:from>
        <xdr:to>
          <xdr:col>11</xdr:col>
          <xdr:colOff>170180</xdr:colOff>
          <xdr:row>30</xdr:row>
          <xdr:rowOff>165735</xdr:rowOff>
        </xdr:to>
        <xdr:sp>
          <xdr:nvSpPr>
            <xdr:cNvPr id="3256" name="生产预付报表按钮" hidden="1">
              <a:extLst>
                <a:ext uri="{63B3BB69-23CF-44E3-9099-C40C66FF867C}">
                  <a14:compatExt spid="_x0000_s3256"/>
                </a:ext>
              </a:extLst>
            </xdr:cNvPr>
            <xdr:cNvSpPr/>
          </xdr:nvSpPr>
          <xdr:spPr>
            <a:xfrm>
              <a:off x="11525250" y="6506210"/>
              <a:ext cx="1108710" cy="3003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213360</xdr:colOff>
          <xdr:row>30</xdr:row>
          <xdr:rowOff>183515</xdr:rowOff>
        </xdr:from>
        <xdr:to>
          <xdr:col>11</xdr:col>
          <xdr:colOff>156210</xdr:colOff>
          <xdr:row>32</xdr:row>
          <xdr:rowOff>72390</xdr:rowOff>
        </xdr:to>
        <xdr:sp>
          <xdr:nvSpPr>
            <xdr:cNvPr id="3257" name="合同备案报表按钮" hidden="1">
              <a:extLst>
                <a:ext uri="{63B3BB69-23CF-44E3-9099-C40C66FF867C}">
                  <a14:compatExt spid="_x0000_s3257"/>
                </a:ext>
              </a:extLst>
            </xdr:cNvPr>
            <xdr:cNvSpPr/>
          </xdr:nvSpPr>
          <xdr:spPr>
            <a:xfrm>
              <a:off x="11511280" y="6824345"/>
              <a:ext cx="1108710" cy="3003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29</xdr:row>
          <xdr:rowOff>169545</xdr:rowOff>
        </xdr:from>
        <xdr:to>
          <xdr:col>10</xdr:col>
          <xdr:colOff>80645</xdr:colOff>
          <xdr:row>31</xdr:row>
          <xdr:rowOff>57150</xdr:rowOff>
        </xdr:to>
        <xdr:sp>
          <xdr:nvSpPr>
            <xdr:cNvPr id="3258" name="打开扩展" hidden="1">
              <a:extLst>
                <a:ext uri="{63B3BB69-23CF-44E3-9099-C40C66FF867C}">
                  <a14:compatExt spid="_x0000_s3258"/>
                </a:ext>
              </a:extLst>
            </xdr:cNvPr>
            <xdr:cNvSpPr/>
          </xdr:nvSpPr>
          <xdr:spPr>
            <a:xfrm>
              <a:off x="10221595" y="6604635"/>
              <a:ext cx="1156970" cy="29908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image" Target="../media/image3.wmf"/><Relationship Id="rId84" Type="http://schemas.openxmlformats.org/officeDocument/2006/relationships/hyperlink" Target="..\..\..\..\g&#26684;&#24335;\c&#36130;&#21153;-&#36716;&#27454;&amp;&#26242;&#20272;&#20837;&#24211;&amp;&#36164;&#37329;&#21608;&#35745;&#21010;&amp;&#24320;&#35777;&#30003;&#35831;&#20070;\&#36130;&#21153;&#24320;&#31080;&amp;&#20837;&#24211;\&#24320;&#31080;&#20449;&#24687;&#22996;&#25176;&#21333;.xlsx" TargetMode="External"/><Relationship Id="rId83" Type="http://schemas.openxmlformats.org/officeDocument/2006/relationships/hyperlink" Target="..\..\..\..\g&#26684;&#24335;\b&#25253;&#38144;\h&#36135;&#36816;&#21457;&#31080;&amp;&#26816;&#39564;&#36153;&#21457;&#31080;" TargetMode="External"/><Relationship Id="rId82" Type="http://schemas.openxmlformats.org/officeDocument/2006/relationships/hyperlink" Target="..\..\..\..\g&#26684;&#24335;\c&#36130;&#21153;-&#36716;&#27454;&amp;&#26242;&#20272;&#20837;&#24211;&amp;&#36164;&#37329;&#21608;&#35745;&#21010;&amp;&#24320;&#35777;&#30003;&#35831;&#20070;\&#36130;&#21153;&#24320;&#31080;&amp;&#20837;&#24211;\&#20837;&#24211;&#26126;&#32454;&#21333;(&#27169;&#26495;)-&#19968;&#24335;&#19977;&#20221;.xlsx" TargetMode="External"/><Relationship Id="rId81" Type="http://schemas.openxmlformats.org/officeDocument/2006/relationships/hyperlink" Target="https://www.boc.cn/sourcedb/whpj/" TargetMode="External"/><Relationship Id="rId80" Type="http://schemas.openxmlformats.org/officeDocument/2006/relationships/ctrlProp" Target="../ctrlProps/ctrlProp5.xml"/><Relationship Id="rId8" Type="http://schemas.openxmlformats.org/officeDocument/2006/relationships/control" Target="../activeX/activeX3.xml"/><Relationship Id="rId79" Type="http://schemas.openxmlformats.org/officeDocument/2006/relationships/ctrlProp" Target="../ctrlProps/ctrlProp4.xml"/><Relationship Id="rId78" Type="http://schemas.openxmlformats.org/officeDocument/2006/relationships/ctrlProp" Target="../ctrlProps/ctrlProp3.xml"/><Relationship Id="rId77" Type="http://schemas.openxmlformats.org/officeDocument/2006/relationships/ctrlProp" Target="../ctrlProps/ctrlProp2.xml"/><Relationship Id="rId76" Type="http://schemas.openxmlformats.org/officeDocument/2006/relationships/ctrlProp" Target="../ctrlProps/ctrlProp1.xml"/><Relationship Id="rId75" Type="http://schemas.openxmlformats.org/officeDocument/2006/relationships/image" Target="../media/image36.wmf"/><Relationship Id="rId74" Type="http://schemas.openxmlformats.org/officeDocument/2006/relationships/control" Target="../activeX/activeX36.xml"/><Relationship Id="rId73" Type="http://schemas.openxmlformats.org/officeDocument/2006/relationships/image" Target="../media/image35.wmf"/><Relationship Id="rId72" Type="http://schemas.openxmlformats.org/officeDocument/2006/relationships/control" Target="../activeX/activeX35.xml"/><Relationship Id="rId71" Type="http://schemas.openxmlformats.org/officeDocument/2006/relationships/image" Target="../media/image34.wmf"/><Relationship Id="rId70" Type="http://schemas.openxmlformats.org/officeDocument/2006/relationships/control" Target="../activeX/activeX34.xml"/><Relationship Id="rId7" Type="http://schemas.openxmlformats.org/officeDocument/2006/relationships/image" Target="../media/image2.wmf"/><Relationship Id="rId69" Type="http://schemas.openxmlformats.org/officeDocument/2006/relationships/image" Target="../media/image33.wmf"/><Relationship Id="rId68" Type="http://schemas.openxmlformats.org/officeDocument/2006/relationships/control" Target="../activeX/activeX33.xml"/><Relationship Id="rId67" Type="http://schemas.openxmlformats.org/officeDocument/2006/relationships/image" Target="../media/image32.wmf"/><Relationship Id="rId66" Type="http://schemas.openxmlformats.org/officeDocument/2006/relationships/control" Target="../activeX/activeX32.xml"/><Relationship Id="rId65" Type="http://schemas.openxmlformats.org/officeDocument/2006/relationships/image" Target="../media/image31.wmf"/><Relationship Id="rId64" Type="http://schemas.openxmlformats.org/officeDocument/2006/relationships/control" Target="../activeX/activeX31.xml"/><Relationship Id="rId63" Type="http://schemas.openxmlformats.org/officeDocument/2006/relationships/image" Target="../media/image30.wmf"/><Relationship Id="rId62" Type="http://schemas.openxmlformats.org/officeDocument/2006/relationships/control" Target="../activeX/activeX30.xml"/><Relationship Id="rId61" Type="http://schemas.openxmlformats.org/officeDocument/2006/relationships/image" Target="../media/image29.wmf"/><Relationship Id="rId60" Type="http://schemas.openxmlformats.org/officeDocument/2006/relationships/control" Target="../activeX/activeX29.xml"/><Relationship Id="rId6" Type="http://schemas.openxmlformats.org/officeDocument/2006/relationships/control" Target="../activeX/activeX2.xml"/><Relationship Id="rId59" Type="http://schemas.openxmlformats.org/officeDocument/2006/relationships/image" Target="../media/image28.wmf"/><Relationship Id="rId58" Type="http://schemas.openxmlformats.org/officeDocument/2006/relationships/control" Target="../activeX/activeX28.xml"/><Relationship Id="rId57" Type="http://schemas.openxmlformats.org/officeDocument/2006/relationships/image" Target="../media/image27.wmf"/><Relationship Id="rId56" Type="http://schemas.openxmlformats.org/officeDocument/2006/relationships/control" Target="../activeX/activeX27.xml"/><Relationship Id="rId55" Type="http://schemas.openxmlformats.org/officeDocument/2006/relationships/image" Target="../media/image26.wmf"/><Relationship Id="rId54" Type="http://schemas.openxmlformats.org/officeDocument/2006/relationships/control" Target="../activeX/activeX26.xml"/><Relationship Id="rId53" Type="http://schemas.openxmlformats.org/officeDocument/2006/relationships/image" Target="../media/image25.wmf"/><Relationship Id="rId52" Type="http://schemas.openxmlformats.org/officeDocument/2006/relationships/control" Target="../activeX/activeX25.xml"/><Relationship Id="rId51" Type="http://schemas.openxmlformats.org/officeDocument/2006/relationships/image" Target="../media/image24.wmf"/><Relationship Id="rId50" Type="http://schemas.openxmlformats.org/officeDocument/2006/relationships/control" Target="../activeX/activeX24.xml"/><Relationship Id="rId5" Type="http://schemas.openxmlformats.org/officeDocument/2006/relationships/image" Target="../media/image1.wmf"/><Relationship Id="rId49" Type="http://schemas.openxmlformats.org/officeDocument/2006/relationships/image" Target="../media/image23.wmf"/><Relationship Id="rId48" Type="http://schemas.openxmlformats.org/officeDocument/2006/relationships/control" Target="../activeX/activeX23.xml"/><Relationship Id="rId47" Type="http://schemas.openxmlformats.org/officeDocument/2006/relationships/image" Target="../media/image22.wmf"/><Relationship Id="rId46" Type="http://schemas.openxmlformats.org/officeDocument/2006/relationships/control" Target="../activeX/activeX22.xml"/><Relationship Id="rId45" Type="http://schemas.openxmlformats.org/officeDocument/2006/relationships/image" Target="../media/image21.wmf"/><Relationship Id="rId44" Type="http://schemas.openxmlformats.org/officeDocument/2006/relationships/control" Target="../activeX/activeX21.xml"/><Relationship Id="rId43" Type="http://schemas.openxmlformats.org/officeDocument/2006/relationships/image" Target="../media/image20.wmf"/><Relationship Id="rId42" Type="http://schemas.openxmlformats.org/officeDocument/2006/relationships/control" Target="../activeX/activeX20.xml"/><Relationship Id="rId41" Type="http://schemas.openxmlformats.org/officeDocument/2006/relationships/image" Target="../media/image19.wmf"/><Relationship Id="rId40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39" Type="http://schemas.openxmlformats.org/officeDocument/2006/relationships/image" Target="../media/image18.wmf"/><Relationship Id="rId38" Type="http://schemas.openxmlformats.org/officeDocument/2006/relationships/control" Target="../activeX/activeX18.xml"/><Relationship Id="rId37" Type="http://schemas.openxmlformats.org/officeDocument/2006/relationships/image" Target="../media/image17.wmf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C87"/>
  <sheetViews>
    <sheetView showGridLines="0" tabSelected="1" zoomScale="115" zoomScaleNormal="115" topLeftCell="A8" workbookViewId="0">
      <selection activeCell="H27" sqref="H27"/>
    </sheetView>
  </sheetViews>
  <sheetFormatPr defaultColWidth="9" defaultRowHeight="17.4"/>
  <cols>
    <col min="1" max="1" width="14.25" style="1" customWidth="1"/>
    <col min="2" max="2" width="10.0083333333333" style="1" customWidth="1"/>
    <col min="3" max="3" width="13.125" style="1" customWidth="1"/>
    <col min="4" max="4" width="15.3833333333333" style="1" customWidth="1"/>
    <col min="5" max="5" width="17.925" style="1" customWidth="1"/>
    <col min="6" max="6" width="15.3833333333333" style="1" customWidth="1"/>
    <col min="7" max="8" width="16.5" style="1" customWidth="1"/>
    <col min="9" max="9" width="13.9416666666667" style="1" customWidth="1"/>
    <col min="10" max="10" width="15.25" style="1" customWidth="1"/>
    <col min="11" max="11" width="15.3" style="1" customWidth="1"/>
    <col min="12" max="12" width="8.34166666666667" style="1" customWidth="1"/>
    <col min="13" max="15" width="10.2166666666667" style="1" customWidth="1"/>
    <col min="16" max="17" width="9" style="1" customWidth="1"/>
    <col min="18" max="18" width="18.375" style="1" customWidth="1"/>
    <col min="19" max="258" width="9" style="1" customWidth="1"/>
    <col min="259" max="16383" width="9" style="1"/>
  </cols>
  <sheetData>
    <row r="1" ht="26.1" customHeight="1" spans="1:15">
      <c r="A1" s="2" t="s">
        <v>0</v>
      </c>
      <c r="B1" s="3" t="s">
        <v>1</v>
      </c>
      <c r="C1" s="4"/>
      <c r="D1" s="4"/>
      <c r="E1" s="3" t="s">
        <v>2</v>
      </c>
      <c r="F1" s="5" t="s">
        <v>3</v>
      </c>
      <c r="G1" s="6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10</v>
      </c>
      <c r="N1" s="7" t="s">
        <v>11</v>
      </c>
      <c r="O1" s="7" t="s">
        <v>12</v>
      </c>
    </row>
    <row r="2" ht="18" customHeight="1" outlineLevel="1" spans="1:15">
      <c r="A2" s="2"/>
      <c r="B2" s="8"/>
      <c r="C2" s="9"/>
      <c r="D2" s="9"/>
      <c r="E2" s="10"/>
      <c r="F2" s="11"/>
      <c r="G2" s="12"/>
      <c r="H2" s="13"/>
      <c r="I2" s="12"/>
      <c r="J2" s="12"/>
      <c r="K2" s="12"/>
      <c r="L2" s="12"/>
      <c r="M2" s="12"/>
      <c r="N2" s="142"/>
      <c r="O2" s="12"/>
    </row>
    <row r="3" ht="18" customHeight="1" outlineLevel="1" spans="1:15">
      <c r="A3" s="14" t="s">
        <v>13</v>
      </c>
      <c r="B3" s="15" t="s">
        <v>14</v>
      </c>
      <c r="C3" s="16"/>
      <c r="D3" s="17"/>
      <c r="E3" s="18" t="s">
        <v>15</v>
      </c>
      <c r="F3" s="19" t="s">
        <v>16</v>
      </c>
      <c r="G3" s="20"/>
      <c r="H3" s="21"/>
      <c r="I3" s="20"/>
      <c r="J3" s="20"/>
      <c r="K3" s="143"/>
      <c r="L3" s="20"/>
      <c r="M3" s="20">
        <f>G20</f>
        <v>0</v>
      </c>
      <c r="N3" s="144"/>
      <c r="O3" s="143"/>
    </row>
    <row r="4" ht="18" customHeight="1" outlineLevel="1" spans="1:15">
      <c r="A4" s="14" t="s">
        <v>13</v>
      </c>
      <c r="B4" s="22" t="s">
        <v>17</v>
      </c>
      <c r="C4" s="23"/>
      <c r="D4" s="23"/>
      <c r="E4" s="18" t="s">
        <v>18</v>
      </c>
      <c r="F4" s="19" t="s">
        <v>19</v>
      </c>
      <c r="G4" s="20"/>
      <c r="H4" s="21"/>
      <c r="I4" s="20"/>
      <c r="J4" s="20"/>
      <c r="K4" s="143"/>
      <c r="L4" s="20"/>
      <c r="M4" s="20"/>
      <c r="N4" s="144"/>
      <c r="O4" s="143"/>
    </row>
    <row r="5" ht="18" customHeight="1" outlineLevel="1" spans="1:15">
      <c r="A5" s="14" t="s">
        <v>20</v>
      </c>
      <c r="B5" s="15" t="s">
        <v>21</v>
      </c>
      <c r="C5" s="16"/>
      <c r="D5" s="16"/>
      <c r="E5" s="18" t="s">
        <v>22</v>
      </c>
      <c r="F5" s="19" t="s">
        <v>23</v>
      </c>
      <c r="G5" s="20"/>
      <c r="H5" s="21"/>
      <c r="I5" s="20"/>
      <c r="J5" s="27"/>
      <c r="K5" s="145"/>
      <c r="L5" s="27"/>
      <c r="M5" s="27">
        <f>G20</f>
        <v>0</v>
      </c>
      <c r="N5" s="146"/>
      <c r="O5" s="27"/>
    </row>
    <row r="6" ht="18" customHeight="1" outlineLevel="1" spans="1:15">
      <c r="A6" s="14" t="s">
        <v>20</v>
      </c>
      <c r="B6" s="15" t="s">
        <v>24</v>
      </c>
      <c r="C6" s="16"/>
      <c r="D6" s="16"/>
      <c r="E6" s="18" t="s">
        <v>25</v>
      </c>
      <c r="F6" s="19" t="s">
        <v>19</v>
      </c>
      <c r="G6" s="20"/>
      <c r="H6" s="21"/>
      <c r="I6" s="20"/>
      <c r="J6" s="27"/>
      <c r="K6" s="145"/>
      <c r="L6" s="27"/>
      <c r="M6" s="27"/>
      <c r="N6" s="146"/>
      <c r="O6" s="27"/>
    </row>
    <row r="7" ht="18" customHeight="1" outlineLevel="1" spans="1:15">
      <c r="A7" s="24"/>
      <c r="B7" s="25"/>
      <c r="C7" s="26"/>
      <c r="D7" s="26"/>
      <c r="E7" s="10"/>
      <c r="F7" s="27"/>
      <c r="G7" s="20"/>
      <c r="H7" s="28"/>
      <c r="I7" s="20"/>
      <c r="J7" s="147"/>
      <c r="K7" s="147"/>
      <c r="L7" s="147"/>
      <c r="M7" s="147"/>
      <c r="N7" s="148"/>
      <c r="O7" s="147"/>
    </row>
    <row r="8" ht="24" customHeight="1" spans="1:16381">
      <c r="A8" s="29" t="s">
        <v>26</v>
      </c>
      <c r="B8" s="30"/>
      <c r="C8" s="30"/>
      <c r="D8" s="30"/>
      <c r="E8" s="30" t="s">
        <v>27</v>
      </c>
      <c r="F8" s="30"/>
      <c r="G8" s="31" t="s">
        <v>28</v>
      </c>
      <c r="H8" s="32"/>
      <c r="I8" s="149" t="s">
        <v>29</v>
      </c>
      <c r="XFA8"/>
    </row>
    <row r="9" ht="15.6" outlineLevel="1" spans="1:16383">
      <c r="A9" s="33" t="s">
        <v>30</v>
      </c>
      <c r="B9" s="34"/>
      <c r="C9" s="35"/>
      <c r="D9" s="34" t="s">
        <v>31</v>
      </c>
      <c r="E9" s="33" t="s">
        <v>32</v>
      </c>
      <c r="F9" s="34" t="s">
        <v>33</v>
      </c>
      <c r="G9" s="34" t="s">
        <v>34</v>
      </c>
      <c r="H9" s="36" t="s">
        <v>35</v>
      </c>
      <c r="I9" s="150" t="s">
        <v>34</v>
      </c>
      <c r="XEY9"/>
      <c r="XEZ9"/>
      <c r="XFA9"/>
      <c r="XFB9"/>
      <c r="XFC9"/>
    </row>
    <row r="10" ht="15.6" outlineLevel="1" spans="1:16383">
      <c r="A10" s="33" t="s">
        <v>36</v>
      </c>
      <c r="B10" s="35"/>
      <c r="C10" s="35"/>
      <c r="D10" s="33" t="s">
        <v>37</v>
      </c>
      <c r="E10" s="33" t="s">
        <v>32</v>
      </c>
      <c r="F10" s="33" t="s">
        <v>38</v>
      </c>
      <c r="G10" s="33"/>
      <c r="H10" s="37" t="s">
        <v>39</v>
      </c>
      <c r="I10" s="37"/>
      <c r="XEY10"/>
      <c r="XEZ10"/>
      <c r="XFA10"/>
      <c r="XFB10"/>
      <c r="XFC10"/>
    </row>
    <row r="11" ht="15.6" outlineLevel="1" spans="1:16383">
      <c r="A11" s="34" t="s">
        <v>40</v>
      </c>
      <c r="B11" s="35"/>
      <c r="C11" s="35"/>
      <c r="D11" s="33" t="s">
        <v>41</v>
      </c>
      <c r="E11" s="34" t="s">
        <v>32</v>
      </c>
      <c r="F11" s="33" t="s">
        <v>42</v>
      </c>
      <c r="G11" s="33"/>
      <c r="H11" s="37" t="s">
        <v>43</v>
      </c>
      <c r="I11" s="37"/>
      <c r="XEY11"/>
      <c r="XEZ11"/>
      <c r="XFA11"/>
      <c r="XFB11"/>
      <c r="XFC11"/>
    </row>
    <row r="12" outlineLevel="1" spans="1:16383">
      <c r="A12" s="34" t="s">
        <v>44</v>
      </c>
      <c r="B12" s="38"/>
      <c r="C12" s="33"/>
      <c r="D12" s="33" t="s">
        <v>45</v>
      </c>
      <c r="E12" s="39" t="s">
        <v>32</v>
      </c>
      <c r="F12" s="33" t="s">
        <v>46</v>
      </c>
      <c r="G12" s="33"/>
      <c r="H12" s="37" t="s">
        <v>47</v>
      </c>
      <c r="I12" s="37"/>
      <c r="L12" s="151"/>
      <c r="XEY12"/>
      <c r="XEZ12"/>
      <c r="XFA12"/>
      <c r="XFB12"/>
      <c r="XFC12"/>
    </row>
    <row r="13" outlineLevel="1" spans="1:16383">
      <c r="A13" s="34" t="s">
        <v>48</v>
      </c>
      <c r="B13" s="33"/>
      <c r="C13" s="33"/>
      <c r="D13" s="33" t="s">
        <v>49</v>
      </c>
      <c r="E13" s="40" t="s">
        <v>32</v>
      </c>
      <c r="F13" s="33" t="s">
        <v>50</v>
      </c>
      <c r="G13" s="33"/>
      <c r="H13" s="37" t="s">
        <v>51</v>
      </c>
      <c r="I13" s="37"/>
      <c r="L13" s="152"/>
      <c r="XEY13"/>
      <c r="XEZ13"/>
      <c r="XFA13"/>
      <c r="XFB13"/>
      <c r="XFC13"/>
    </row>
    <row r="14" outlineLevel="1" spans="1:16383">
      <c r="A14" s="33" t="s">
        <v>52</v>
      </c>
      <c r="B14" s="33"/>
      <c r="C14" s="33"/>
      <c r="D14" s="33" t="s">
        <v>53</v>
      </c>
      <c r="E14" s="40" t="s">
        <v>32</v>
      </c>
      <c r="F14" s="33" t="s">
        <v>54</v>
      </c>
      <c r="G14" s="33"/>
      <c r="H14" s="37" t="s">
        <v>55</v>
      </c>
      <c r="I14" s="37"/>
      <c r="L14" s="152"/>
      <c r="XEY14"/>
      <c r="XEZ14"/>
      <c r="XFA14"/>
      <c r="XFB14"/>
      <c r="XFC14"/>
    </row>
    <row r="15" outlineLevel="1" spans="1:16383">
      <c r="A15" s="33" t="s">
        <v>56</v>
      </c>
      <c r="B15" s="33"/>
      <c r="C15" s="33"/>
      <c r="D15" s="33" t="s">
        <v>57</v>
      </c>
      <c r="E15" s="33" t="s">
        <v>32</v>
      </c>
      <c r="F15" s="33" t="s">
        <v>58</v>
      </c>
      <c r="G15" s="33"/>
      <c r="H15" s="37" t="s">
        <v>59</v>
      </c>
      <c r="I15" s="37"/>
      <c r="L15" s="152"/>
      <c r="XEY15"/>
      <c r="XEZ15"/>
      <c r="XFA15"/>
      <c r="XFB15"/>
      <c r="XFC15"/>
    </row>
    <row r="16" ht="15.6" outlineLevel="1" spans="1:16383">
      <c r="A16" s="33" t="s">
        <v>60</v>
      </c>
      <c r="B16" s="33"/>
      <c r="C16" s="33"/>
      <c r="D16" s="33" t="s">
        <v>61</v>
      </c>
      <c r="E16" s="33" t="s">
        <v>32</v>
      </c>
      <c r="F16" s="33" t="s">
        <v>62</v>
      </c>
      <c r="G16" s="33"/>
      <c r="H16" s="37" t="s">
        <v>63</v>
      </c>
      <c r="I16" s="37"/>
      <c r="XEY16"/>
      <c r="XEZ16"/>
      <c r="XFA16"/>
      <c r="XFB16"/>
      <c r="XFC16"/>
    </row>
    <row r="17" ht="15.6" outlineLevel="1" spans="1:16383">
      <c r="A17" s="33" t="s">
        <v>64</v>
      </c>
      <c r="B17" s="33"/>
      <c r="C17" s="33"/>
      <c r="D17" s="33" t="s">
        <v>65</v>
      </c>
      <c r="E17" s="33" t="s">
        <v>32</v>
      </c>
      <c r="F17" s="33" t="s">
        <v>66</v>
      </c>
      <c r="G17" s="41"/>
      <c r="H17" s="37" t="s">
        <v>67</v>
      </c>
      <c r="I17" s="37"/>
      <c r="XEY17"/>
      <c r="XEZ17"/>
      <c r="XFA17"/>
      <c r="XFB17"/>
      <c r="XFC17"/>
    </row>
    <row r="18" ht="15.6" outlineLevel="1" spans="1:16383">
      <c r="A18" s="33" t="s">
        <v>68</v>
      </c>
      <c r="B18" s="33"/>
      <c r="C18" s="33"/>
      <c r="D18" s="33" t="s">
        <v>69</v>
      </c>
      <c r="E18" s="33" t="s">
        <v>32</v>
      </c>
      <c r="F18" s="33" t="s">
        <v>70</v>
      </c>
      <c r="G18" s="33"/>
      <c r="H18" s="37" t="s">
        <v>71</v>
      </c>
      <c r="I18" s="37"/>
      <c r="XEY18"/>
      <c r="XEZ18"/>
      <c r="XFA18"/>
      <c r="XFB18"/>
      <c r="XFC18"/>
    </row>
    <row r="19" ht="15.6" outlineLevel="1" spans="1:16383">
      <c r="A19" s="33" t="s">
        <v>72</v>
      </c>
      <c r="B19" s="33"/>
      <c r="C19" s="33"/>
      <c r="D19" s="42" t="s">
        <v>73</v>
      </c>
      <c r="E19" s="33"/>
      <c r="F19" s="33" t="s">
        <v>74</v>
      </c>
      <c r="G19" s="33"/>
      <c r="H19" s="37" t="s">
        <v>75</v>
      </c>
      <c r="I19" s="37">
        <f>SUM(I12:I18)</f>
        <v>0</v>
      </c>
      <c r="XEY19"/>
      <c r="XEZ19"/>
      <c r="XFA19"/>
      <c r="XFB19"/>
      <c r="XFC19"/>
    </row>
    <row r="20" ht="15.6" outlineLevel="1" spans="1:16383">
      <c r="A20" s="34"/>
      <c r="B20" s="34"/>
      <c r="C20" s="34"/>
      <c r="D20" s="43"/>
      <c r="E20" s="34"/>
      <c r="F20" s="34" t="s">
        <v>76</v>
      </c>
      <c r="G20" s="34">
        <f>G16</f>
        <v>0</v>
      </c>
      <c r="H20" s="37"/>
      <c r="I20" s="37"/>
      <c r="XEY20"/>
      <c r="XEZ20"/>
      <c r="XFA20"/>
      <c r="XFB20"/>
      <c r="XFC20"/>
    </row>
    <row r="21" spans="1:9">
      <c r="A21" s="44" t="s">
        <v>77</v>
      </c>
      <c r="B21" s="45" t="s">
        <v>78</v>
      </c>
      <c r="C21" s="45" t="s">
        <v>79</v>
      </c>
      <c r="D21" s="46" t="s">
        <v>80</v>
      </c>
      <c r="E21" s="47"/>
      <c r="F21" s="48" t="s">
        <v>81</v>
      </c>
      <c r="G21" s="49" t="s">
        <v>82</v>
      </c>
      <c r="H21" s="50">
        <v>0.05</v>
      </c>
      <c r="I21" s="51"/>
    </row>
    <row r="22" ht="16.2" outlineLevel="1" spans="1:9">
      <c r="A22" s="51" t="s">
        <v>83</v>
      </c>
      <c r="B22" s="51" t="s">
        <v>84</v>
      </c>
      <c r="C22" s="52" t="s">
        <v>85</v>
      </c>
      <c r="D22" s="53" t="s">
        <v>86</v>
      </c>
      <c r="E22" s="51" t="s">
        <v>87</v>
      </c>
      <c r="F22" s="51"/>
      <c r="G22" s="54" t="s">
        <v>88</v>
      </c>
      <c r="H22" s="51" t="s">
        <v>89</v>
      </c>
      <c r="I22" s="51" t="s">
        <v>90</v>
      </c>
    </row>
    <row r="23" outlineLevel="1" spans="1:14">
      <c r="A23" s="55"/>
      <c r="B23" s="56"/>
      <c r="C23" s="57"/>
      <c r="D23" s="58"/>
      <c r="E23" s="59"/>
      <c r="F23" s="60"/>
      <c r="G23" s="61"/>
      <c r="H23" s="62"/>
      <c r="I23" s="51"/>
      <c r="J23" s="153"/>
      <c r="K23" s="153"/>
      <c r="L23" s="153"/>
      <c r="N23" s="154"/>
    </row>
    <row r="24" outlineLevel="1" spans="1:14">
      <c r="A24" s="55"/>
      <c r="B24" s="56"/>
      <c r="C24" s="57"/>
      <c r="D24" s="58"/>
      <c r="E24" s="63"/>
      <c r="F24" s="60"/>
      <c r="G24" s="61"/>
      <c r="H24" s="62"/>
      <c r="I24" s="51"/>
      <c r="J24" s="153"/>
      <c r="K24" s="153"/>
      <c r="L24" s="153"/>
      <c r="N24" s="154"/>
    </row>
    <row r="25" outlineLevel="1" spans="1:14">
      <c r="A25" s="55"/>
      <c r="B25" s="56"/>
      <c r="C25" s="57"/>
      <c r="D25" s="58"/>
      <c r="E25" s="63"/>
      <c r="F25" s="60"/>
      <c r="G25" s="61"/>
      <c r="H25" s="62"/>
      <c r="I25" s="51"/>
      <c r="J25" s="153"/>
      <c r="K25" s="153"/>
      <c r="L25" s="153"/>
      <c r="N25" s="154"/>
    </row>
    <row r="26" outlineLevel="1" spans="1:14">
      <c r="A26" s="55"/>
      <c r="B26" s="56"/>
      <c r="C26" s="57"/>
      <c r="D26" s="58"/>
      <c r="E26" s="63"/>
      <c r="F26" s="60"/>
      <c r="G26" s="61"/>
      <c r="H26" s="62"/>
      <c r="I26" s="51"/>
      <c r="J26" s="153"/>
      <c r="K26" s="153"/>
      <c r="L26" s="153"/>
      <c r="N26" s="154"/>
    </row>
    <row r="27" outlineLevel="1" spans="1:14">
      <c r="A27" s="55"/>
      <c r="B27" s="56"/>
      <c r="C27" s="57"/>
      <c r="D27" s="58"/>
      <c r="E27" s="63"/>
      <c r="F27" s="60"/>
      <c r="G27" s="61"/>
      <c r="H27" s="62"/>
      <c r="I27" s="51"/>
      <c r="J27" s="153"/>
      <c r="K27" s="153"/>
      <c r="L27" s="153"/>
      <c r="N27" s="154"/>
    </row>
    <row r="28" outlineLevel="1" spans="1:14">
      <c r="A28" s="55"/>
      <c r="B28" s="56"/>
      <c r="C28" s="57"/>
      <c r="D28" s="58"/>
      <c r="E28" s="63"/>
      <c r="F28" s="60"/>
      <c r="G28" s="61"/>
      <c r="H28" s="62"/>
      <c r="I28" s="51"/>
      <c r="J28" s="153"/>
      <c r="K28" s="153"/>
      <c r="L28" s="153"/>
      <c r="N28" s="154"/>
    </row>
    <row r="29" ht="16.2" outlineLevel="1" spans="1:9">
      <c r="A29" s="55"/>
      <c r="B29" s="56"/>
      <c r="C29" s="64"/>
      <c r="D29" s="65"/>
      <c r="E29" s="63"/>
      <c r="F29" s="60"/>
      <c r="G29" s="66"/>
      <c r="H29" s="62"/>
      <c r="I29" s="51"/>
    </row>
    <row r="30" ht="16.2" outlineLevel="1" spans="1:9">
      <c r="A30" s="67" t="s">
        <v>91</v>
      </c>
      <c r="B30" s="51"/>
      <c r="C30" s="68">
        <f ca="1">SUM(C23:INDEX(C:C,ROW()-1))</f>
        <v>0</v>
      </c>
      <c r="D30" s="69">
        <f ca="1">SUM(D23:INDEX(D:D,ROW()-1))</f>
        <v>0</v>
      </c>
      <c r="E30" s="70"/>
      <c r="F30" s="71"/>
      <c r="G30" s="72">
        <f ca="1">SUM(G23:INDEX(G:G,ROW()-1))</f>
        <v>0</v>
      </c>
      <c r="H30" s="73">
        <f ca="1">SUM(H23:INDEX(H:H,ROW()-1))</f>
        <v>0</v>
      </c>
      <c r="I30" s="51"/>
    </row>
    <row r="31" ht="16.2" outlineLevel="1" spans="1:9">
      <c r="A31" s="51" t="s">
        <v>92</v>
      </c>
      <c r="B31" s="51" t="s">
        <v>93</v>
      </c>
      <c r="C31" s="52" t="s">
        <v>94</v>
      </c>
      <c r="D31" s="67" t="s">
        <v>95</v>
      </c>
      <c r="E31" s="74" t="s">
        <v>96</v>
      </c>
      <c r="F31" s="74"/>
      <c r="G31" s="75" t="s">
        <v>97</v>
      </c>
      <c r="H31" s="51" t="s">
        <v>98</v>
      </c>
      <c r="I31" s="51" t="s">
        <v>99</v>
      </c>
    </row>
    <row r="32" ht="16.2" outlineLevel="1" spans="1:9">
      <c r="A32" s="55"/>
      <c r="B32" s="76"/>
      <c r="C32" s="77"/>
      <c r="D32" s="78"/>
      <c r="E32" s="79"/>
      <c r="F32" s="79"/>
      <c r="G32" s="80"/>
      <c r="H32" s="81">
        <f>($A$32-A32)/360*$H$21*$D$32</f>
        <v>0</v>
      </c>
      <c r="I32" s="51"/>
    </row>
    <row r="33" outlineLevel="1" spans="1:15">
      <c r="A33" s="55"/>
      <c r="B33" s="76"/>
      <c r="C33" s="77"/>
      <c r="D33" s="78"/>
      <c r="E33" s="79"/>
      <c r="F33" s="79"/>
      <c r="G33" s="80"/>
      <c r="H33" s="81"/>
      <c r="I33" s="51"/>
      <c r="M33" s="155"/>
      <c r="O33" s="155"/>
    </row>
    <row r="34" outlineLevel="1" spans="1:15">
      <c r="A34" s="55"/>
      <c r="B34" s="76"/>
      <c r="C34" s="77"/>
      <c r="D34" s="78"/>
      <c r="E34" s="79"/>
      <c r="F34" s="79"/>
      <c r="G34" s="80"/>
      <c r="H34" s="81"/>
      <c r="I34" s="51"/>
      <c r="M34" s="155"/>
      <c r="O34" s="155"/>
    </row>
    <row r="35" outlineLevel="1" spans="1:15">
      <c r="A35" s="55"/>
      <c r="B35" s="76"/>
      <c r="C35" s="77"/>
      <c r="D35" s="78"/>
      <c r="E35" s="79"/>
      <c r="F35" s="79"/>
      <c r="G35" s="80"/>
      <c r="H35" s="81"/>
      <c r="I35" s="51"/>
      <c r="M35" s="155"/>
      <c r="O35" s="155"/>
    </row>
    <row r="36" outlineLevel="1" spans="1:15">
      <c r="A36" s="55"/>
      <c r="B36" s="76"/>
      <c r="C36" s="82"/>
      <c r="D36" s="78"/>
      <c r="E36" s="79"/>
      <c r="F36" s="79"/>
      <c r="G36" s="83"/>
      <c r="H36" s="81"/>
      <c r="I36" s="51"/>
      <c r="K36" s="152"/>
      <c r="M36" s="155"/>
      <c r="O36" s="155"/>
    </row>
    <row r="37" outlineLevel="1" spans="1:15">
      <c r="A37" s="55"/>
      <c r="B37" s="76"/>
      <c r="C37" s="82"/>
      <c r="D37" s="78"/>
      <c r="E37" s="79"/>
      <c r="F37" s="79"/>
      <c r="G37" s="83"/>
      <c r="H37" s="81"/>
      <c r="I37" s="51"/>
      <c r="K37" s="152"/>
      <c r="M37" s="155"/>
      <c r="O37" s="155"/>
    </row>
    <row r="38" outlineLevel="1" spans="1:15">
      <c r="A38" s="67" t="s">
        <v>100</v>
      </c>
      <c r="B38" s="76"/>
      <c r="C38" s="68">
        <f ca="1">SUM(C32:INDEX(C:C,ROW()-1))</f>
        <v>0</v>
      </c>
      <c r="D38" s="84">
        <f ca="1">SUM(D32:INDEX(D:D,ROW()-1))</f>
        <v>0</v>
      </c>
      <c r="E38" s="79"/>
      <c r="F38" s="79"/>
      <c r="G38" s="85">
        <f ca="1">SUM(G32:INDEX(G:G,ROW()-1))</f>
        <v>0</v>
      </c>
      <c r="H38" s="73">
        <f ca="1">SUM(H32:INDEX(H:H,ROW()-1))</f>
        <v>0</v>
      </c>
      <c r="I38" s="51"/>
      <c r="K38" s="152"/>
      <c r="M38" s="156"/>
      <c r="O38" s="152"/>
    </row>
    <row r="39" spans="1:13">
      <c r="A39" s="86" t="s">
        <v>101</v>
      </c>
      <c r="B39" s="87" t="s">
        <v>102</v>
      </c>
      <c r="C39" s="87" t="s">
        <v>103</v>
      </c>
      <c r="D39" s="87" t="s">
        <v>104</v>
      </c>
      <c r="E39" s="88" t="s">
        <v>105</v>
      </c>
      <c r="F39" s="89"/>
      <c r="G39" s="90"/>
      <c r="H39" s="91"/>
      <c r="I39" s="91"/>
      <c r="K39" s="152"/>
      <c r="M39" s="155"/>
    </row>
    <row r="40" outlineLevel="1" spans="1:11">
      <c r="A40" s="92" t="s">
        <v>106</v>
      </c>
      <c r="B40" s="92" t="s">
        <v>107</v>
      </c>
      <c r="C40" s="92" t="s">
        <v>108</v>
      </c>
      <c r="D40" s="92" t="s">
        <v>109</v>
      </c>
      <c r="E40" s="92" t="s">
        <v>110</v>
      </c>
      <c r="F40" s="92" t="s">
        <v>111</v>
      </c>
      <c r="G40" s="92" t="s">
        <v>112</v>
      </c>
      <c r="H40" s="92"/>
      <c r="I40" s="91" t="s">
        <v>113</v>
      </c>
      <c r="K40" s="152"/>
    </row>
    <row r="41" ht="17" customHeight="1" outlineLevel="1" spans="1:13">
      <c r="A41" s="93"/>
      <c r="B41" s="94"/>
      <c r="C41" s="95"/>
      <c r="D41" s="96"/>
      <c r="E41" s="97"/>
      <c r="F41" s="98"/>
      <c r="G41" s="99"/>
      <c r="H41" s="100"/>
      <c r="I41" s="91"/>
      <c r="K41" s="152"/>
      <c r="L41" s="152"/>
      <c r="M41" s="152"/>
    </row>
    <row r="42" ht="17" customHeight="1" outlineLevel="1" spans="1:13">
      <c r="A42" s="93"/>
      <c r="B42" s="94"/>
      <c r="C42" s="95"/>
      <c r="D42" s="96"/>
      <c r="E42" s="97"/>
      <c r="F42" s="98"/>
      <c r="G42" s="99"/>
      <c r="H42" s="100"/>
      <c r="I42" s="91"/>
      <c r="J42" s="157" t="s">
        <v>114</v>
      </c>
      <c r="K42" s="152"/>
      <c r="L42" s="152"/>
      <c r="M42" s="152"/>
    </row>
    <row r="43" ht="17" customHeight="1" outlineLevel="1" spans="1:13">
      <c r="A43" s="93"/>
      <c r="B43" s="94"/>
      <c r="C43" s="95"/>
      <c r="D43" s="96"/>
      <c r="E43" s="97"/>
      <c r="F43" s="98"/>
      <c r="G43" s="99"/>
      <c r="H43" s="99"/>
      <c r="I43" s="91"/>
      <c r="K43" s="152"/>
      <c r="L43" s="152"/>
      <c r="M43" s="152"/>
    </row>
    <row r="44" outlineLevel="1" spans="1:13">
      <c r="A44" s="101" t="s">
        <v>115</v>
      </c>
      <c r="B44" s="94"/>
      <c r="C44" s="102">
        <f ca="1">SUM(C41:INDEX(C:C,ROW()-1))</f>
        <v>0</v>
      </c>
      <c r="D44" s="96">
        <f ca="1">SUM(D41:INDEX(D:D,ROW()-1))</f>
        <v>0</v>
      </c>
      <c r="E44" s="97"/>
      <c r="F44" s="96">
        <f ca="1">SUM(F41:INDEX(F:F,ROW()-1))</f>
        <v>0</v>
      </c>
      <c r="G44" s="99"/>
      <c r="H44" s="99"/>
      <c r="I44" s="91"/>
      <c r="K44" s="152"/>
      <c r="L44" s="152"/>
      <c r="M44" s="155"/>
    </row>
    <row r="45" outlineLevel="1" spans="1:13">
      <c r="A45" s="103" t="s">
        <v>116</v>
      </c>
      <c r="B45" s="92" t="s">
        <v>117</v>
      </c>
      <c r="C45" s="92" t="s">
        <v>118</v>
      </c>
      <c r="D45" s="104" t="s">
        <v>119</v>
      </c>
      <c r="E45" s="92" t="s">
        <v>120</v>
      </c>
      <c r="F45" s="92" t="s">
        <v>121</v>
      </c>
      <c r="G45" s="92" t="s">
        <v>122</v>
      </c>
      <c r="H45" s="92"/>
      <c r="I45" s="91" t="s">
        <v>123</v>
      </c>
      <c r="J45" s="91" t="s">
        <v>124</v>
      </c>
      <c r="K45" s="91" t="s">
        <v>125</v>
      </c>
      <c r="L45" s="158"/>
      <c r="M45" s="158"/>
    </row>
    <row r="46" outlineLevel="1" spans="1:18">
      <c r="A46" s="105"/>
      <c r="B46" s="94"/>
      <c r="C46" s="102"/>
      <c r="D46" s="106"/>
      <c r="E46" s="107"/>
      <c r="F46" s="98"/>
      <c r="G46" s="99"/>
      <c r="H46" s="99"/>
      <c r="I46" s="91"/>
      <c r="J46" s="91"/>
      <c r="K46" s="91"/>
      <c r="L46" s="158"/>
      <c r="M46" s="158"/>
      <c r="Q46" s="170"/>
      <c r="R46" s="170"/>
    </row>
    <row r="47" outlineLevel="1" spans="1:18">
      <c r="A47" s="108"/>
      <c r="B47" s="94"/>
      <c r="C47" s="109"/>
      <c r="D47" s="110"/>
      <c r="E47" s="97"/>
      <c r="F47" s="98"/>
      <c r="G47" s="111"/>
      <c r="H47" s="111"/>
      <c r="I47" s="91"/>
      <c r="J47" s="91"/>
      <c r="K47" s="91"/>
      <c r="L47" s="158"/>
      <c r="M47" s="158"/>
      <c r="Q47" s="170"/>
      <c r="R47" s="170"/>
    </row>
    <row r="48" outlineLevel="1" spans="1:18">
      <c r="A48" s="108"/>
      <c r="B48" s="94"/>
      <c r="C48" s="109"/>
      <c r="D48" s="110"/>
      <c r="E48" s="97"/>
      <c r="F48" s="98"/>
      <c r="G48" s="111"/>
      <c r="H48" s="111"/>
      <c r="I48" s="91"/>
      <c r="J48" s="91"/>
      <c r="K48" s="91"/>
      <c r="L48" s="158"/>
      <c r="M48" s="158"/>
      <c r="Q48" s="170"/>
      <c r="R48" s="170"/>
    </row>
    <row r="49" outlineLevel="1" spans="1:18">
      <c r="A49" s="92" t="s">
        <v>126</v>
      </c>
      <c r="B49" s="94"/>
      <c r="C49" s="102">
        <f ca="1">SUM(C46:INDEX(C:C,ROW()-1))</f>
        <v>0</v>
      </c>
      <c r="D49" s="112">
        <f ca="1">SUM(D46:INDEX(D:D,ROW()-1))</f>
        <v>0</v>
      </c>
      <c r="E49" s="113"/>
      <c r="F49" s="112">
        <f ca="1">SUM(F46:INDEX(F:F,ROW()-1))</f>
        <v>0</v>
      </c>
      <c r="G49" s="114" t="s">
        <v>127</v>
      </c>
      <c r="H49" s="114"/>
      <c r="I49" s="159"/>
      <c r="J49" s="159"/>
      <c r="K49" s="159"/>
      <c r="L49" s="160"/>
      <c r="M49" s="160"/>
      <c r="Q49" s="170"/>
      <c r="R49" s="170"/>
    </row>
    <row r="50" ht="28" customHeight="1" spans="1:18">
      <c r="A50" s="115" t="s">
        <v>128</v>
      </c>
      <c r="B50" s="116" t="s">
        <v>102</v>
      </c>
      <c r="C50" s="117"/>
      <c r="D50" s="118"/>
      <c r="E50" s="119"/>
      <c r="F50" s="120"/>
      <c r="J50" s="161"/>
      <c r="K50" s="162"/>
      <c r="L50" s="163"/>
      <c r="M50" s="163"/>
      <c r="Q50" s="171"/>
      <c r="R50" s="172"/>
    </row>
    <row r="51" outlineLevel="1" spans="1:18">
      <c r="A51" s="34" t="s">
        <v>129</v>
      </c>
      <c r="B51" s="121" t="s">
        <v>130</v>
      </c>
      <c r="C51" s="122" t="s">
        <v>131</v>
      </c>
      <c r="D51" s="123" t="s">
        <v>12</v>
      </c>
      <c r="E51" s="124"/>
      <c r="F51" s="125" t="s">
        <v>132</v>
      </c>
      <c r="I51" s="125" t="s">
        <v>133</v>
      </c>
      <c r="J51" s="164"/>
      <c r="Q51" s="171"/>
      <c r="R51" s="172"/>
    </row>
    <row r="52" outlineLevel="1" spans="1:18">
      <c r="A52" s="126" t="s">
        <v>134</v>
      </c>
      <c r="B52" s="127"/>
      <c r="C52" s="128">
        <f ca="1">D49</f>
        <v>0</v>
      </c>
      <c r="D52" s="129"/>
      <c r="E52" s="124"/>
      <c r="F52" s="130" t="s">
        <v>135</v>
      </c>
      <c r="G52" s="131">
        <f>215/50*50.48*1009.891*6.6</f>
        <v>1446792.4681584</v>
      </c>
      <c r="I52" s="165" t="s">
        <v>136</v>
      </c>
      <c r="J52" s="166"/>
      <c r="Q52" s="171"/>
      <c r="R52" s="172"/>
    </row>
    <row r="53" outlineLevel="1" spans="1:18">
      <c r="A53" s="126" t="s">
        <v>137</v>
      </c>
      <c r="B53" s="127"/>
      <c r="C53" s="128">
        <f ca="1">D44</f>
        <v>0</v>
      </c>
      <c r="D53" s="129"/>
      <c r="E53" s="124"/>
      <c r="F53" s="132" t="s">
        <v>138</v>
      </c>
      <c r="G53" s="131">
        <v>16266.1503540107</v>
      </c>
      <c r="I53" s="165" t="s">
        <v>139</v>
      </c>
      <c r="J53" s="166">
        <f>J52*13%</f>
        <v>0</v>
      </c>
      <c r="Q53" s="171"/>
      <c r="R53" s="172"/>
    </row>
    <row r="54" outlineLevel="1" spans="1:18">
      <c r="A54" s="126" t="s">
        <v>140</v>
      </c>
      <c r="B54" s="127"/>
      <c r="C54" s="128">
        <f ca="1">SUM(C55:C59)</f>
        <v>0</v>
      </c>
      <c r="D54" s="129"/>
      <c r="E54" s="124"/>
      <c r="F54" s="133" t="s">
        <v>141</v>
      </c>
      <c r="G54" s="131">
        <f>G52*0.8%</f>
        <v>11574.3397452672</v>
      </c>
      <c r="I54" s="165" t="s">
        <v>142</v>
      </c>
      <c r="J54" s="166">
        <f>G39/1.06*1.13</f>
        <v>0</v>
      </c>
      <c r="Q54" s="171"/>
      <c r="R54" s="172"/>
    </row>
    <row r="55" outlineLevel="1" spans="1:18">
      <c r="A55" s="34" t="s">
        <v>143</v>
      </c>
      <c r="B55" s="127">
        <v>0.13</v>
      </c>
      <c r="C55" s="128">
        <f ca="1">(D49-F49)-(D44-F44)</f>
        <v>0</v>
      </c>
      <c r="D55" s="129"/>
      <c r="E55" s="124"/>
      <c r="F55" s="133" t="s">
        <v>144</v>
      </c>
      <c r="G55" s="131"/>
      <c r="I55" s="165" t="s">
        <v>145</v>
      </c>
      <c r="J55" s="166">
        <f ca="1">G38/1.06*1.13</f>
        <v>0</v>
      </c>
      <c r="Q55" s="171"/>
      <c r="R55" s="172"/>
    </row>
    <row r="56" outlineLevel="1" spans="1:18">
      <c r="A56" s="34" t="s">
        <v>146</v>
      </c>
      <c r="B56" s="127">
        <v>0.07</v>
      </c>
      <c r="C56" s="128">
        <f ca="1">C55*B56</f>
        <v>0</v>
      </c>
      <c r="D56" s="129"/>
      <c r="E56" s="124"/>
      <c r="F56" s="132" t="s">
        <v>147</v>
      </c>
      <c r="G56" s="131">
        <f>G52*0.13</f>
        <v>188083.020860592</v>
      </c>
      <c r="I56" s="165" t="s">
        <v>148</v>
      </c>
      <c r="J56" s="166">
        <f ca="1">H30-H38</f>
        <v>0</v>
      </c>
      <c r="Q56" s="171"/>
      <c r="R56" s="172"/>
    </row>
    <row r="57" outlineLevel="1" spans="1:18">
      <c r="A57" s="34" t="s">
        <v>149</v>
      </c>
      <c r="B57" s="127">
        <v>0.05</v>
      </c>
      <c r="C57" s="128">
        <f ca="1">C55*B57</f>
        <v>0</v>
      </c>
      <c r="D57" s="129"/>
      <c r="E57" s="124"/>
      <c r="F57" s="132" t="s">
        <v>150</v>
      </c>
      <c r="G57" s="131"/>
      <c r="I57" s="165" t="s">
        <v>151</v>
      </c>
      <c r="J57" s="166"/>
      <c r="Q57" s="171"/>
      <c r="R57" s="172"/>
    </row>
    <row r="58" outlineLevel="1" spans="1:18">
      <c r="A58" s="34" t="s">
        <v>152</v>
      </c>
      <c r="B58" s="127">
        <v>0.001</v>
      </c>
      <c r="C58" s="128"/>
      <c r="D58" s="129"/>
      <c r="E58" s="124"/>
      <c r="F58" s="134" t="s">
        <v>153</v>
      </c>
      <c r="G58" s="135">
        <f>SUM(G52:G57)</f>
        <v>1662715.97911827</v>
      </c>
      <c r="I58" s="167" t="s">
        <v>154</v>
      </c>
      <c r="J58" s="168">
        <f ca="1">SUM(J52:J57)</f>
        <v>0</v>
      </c>
      <c r="R58" s="172"/>
    </row>
    <row r="59" outlineLevel="1" spans="1:18">
      <c r="A59" s="34" t="s">
        <v>155</v>
      </c>
      <c r="B59" s="136" t="s">
        <v>156</v>
      </c>
      <c r="C59" s="128">
        <f ca="1">C52*200%/1.13*0.0003</f>
        <v>0</v>
      </c>
      <c r="D59" s="129"/>
      <c r="E59" s="124"/>
      <c r="R59" s="172"/>
    </row>
    <row r="60" outlineLevel="1" spans="1:18">
      <c r="A60" s="126" t="s">
        <v>157</v>
      </c>
      <c r="B60" s="127"/>
      <c r="C60" s="128">
        <f ca="1">H30-H38</f>
        <v>0</v>
      </c>
      <c r="D60" s="137"/>
      <c r="R60" s="170"/>
    </row>
    <row r="61" outlineLevel="1" spans="1:18">
      <c r="A61" s="126" t="s">
        <v>158</v>
      </c>
      <c r="B61" s="138"/>
      <c r="C61" s="128"/>
      <c r="D61" s="129"/>
      <c r="E61" s="124"/>
      <c r="R61" s="170"/>
    </row>
    <row r="62" outlineLevel="1" spans="1:18">
      <c r="A62" s="126" t="s">
        <v>159</v>
      </c>
      <c r="B62" s="138"/>
      <c r="C62" s="128"/>
      <c r="D62" s="129"/>
      <c r="E62" s="124"/>
      <c r="F62" s="125" t="s">
        <v>160</v>
      </c>
      <c r="R62" s="170"/>
    </row>
    <row r="63" outlineLevel="1" spans="1:18">
      <c r="A63" s="126" t="s">
        <v>161</v>
      </c>
      <c r="B63" s="138"/>
      <c r="C63" s="128"/>
      <c r="D63" s="129"/>
      <c r="E63" s="124"/>
      <c r="F63" s="139" t="s">
        <v>162</v>
      </c>
      <c r="G63" s="140"/>
      <c r="R63" s="170"/>
    </row>
    <row r="64" ht="17.1" customHeight="1" outlineLevel="1" spans="1:16">
      <c r="A64" s="126" t="s">
        <v>163</v>
      </c>
      <c r="B64" s="141" t="s">
        <v>164</v>
      </c>
      <c r="C64" s="128">
        <f ca="1">C52-SUM(C53:C54)-SUM(C60:C63)</f>
        <v>0</v>
      </c>
      <c r="D64" s="129"/>
      <c r="E64" s="124"/>
      <c r="F64" s="139" t="s">
        <v>165</v>
      </c>
      <c r="G64" s="140"/>
      <c r="P64" s="169"/>
    </row>
    <row r="65" ht="17.1" customHeight="1" outlineLevel="1" spans="1:16">
      <c r="A65" s="126" t="s">
        <v>166</v>
      </c>
      <c r="B65" s="141" t="s">
        <v>164</v>
      </c>
      <c r="C65" s="128">
        <f ca="1">F49-F44</f>
        <v>0</v>
      </c>
      <c r="D65" s="129"/>
      <c r="E65" s="124"/>
      <c r="F65" s="139" t="s">
        <v>167</v>
      </c>
      <c r="G65" s="140"/>
      <c r="P65" s="169"/>
    </row>
    <row r="66" ht="18" customHeight="1" spans="1:17">
      <c r="A66" s="173" t="s">
        <v>168</v>
      </c>
      <c r="B66" s="138"/>
      <c r="C66" s="128"/>
      <c r="D66" s="174" t="s">
        <v>169</v>
      </c>
      <c r="E66" s="175"/>
      <c r="F66" s="139" t="s">
        <v>170</v>
      </c>
      <c r="G66" s="140"/>
      <c r="P66" s="169"/>
      <c r="Q66" s="171"/>
    </row>
    <row r="67" ht="16" customHeight="1" spans="6:17">
      <c r="F67" s="139" t="s">
        <v>171</v>
      </c>
      <c r="G67" s="140"/>
      <c r="P67" s="169"/>
      <c r="Q67" s="171"/>
    </row>
    <row r="68" ht="22.2" spans="1:16">
      <c r="A68" s="176"/>
      <c r="P68" s="169"/>
    </row>
    <row r="69" spans="6:17">
      <c r="F69" s="125" t="s">
        <v>172</v>
      </c>
      <c r="I69" s="191" t="s">
        <v>173</v>
      </c>
      <c r="J69" s="192">
        <v>0.007</v>
      </c>
      <c r="P69" s="170"/>
      <c r="Q69" s="195"/>
    </row>
    <row r="70" spans="5:16">
      <c r="E70" s="177"/>
      <c r="F70" s="178" t="s">
        <v>131</v>
      </c>
      <c r="G70" s="179" t="s">
        <v>174</v>
      </c>
      <c r="H70" s="180"/>
      <c r="I70" s="178" t="s">
        <v>175</v>
      </c>
      <c r="J70" s="178" t="s">
        <v>176</v>
      </c>
      <c r="P70" s="170"/>
    </row>
    <row r="71" spans="5:10">
      <c r="E71" s="177"/>
      <c r="F71" s="140"/>
      <c r="G71" s="181"/>
      <c r="H71" s="182"/>
      <c r="I71" s="140">
        <f>H71-G71</f>
        <v>0</v>
      </c>
      <c r="J71" s="140">
        <f>F71*$J$69/30*I71*1.13</f>
        <v>0</v>
      </c>
    </row>
    <row r="72" spans="5:10">
      <c r="E72" s="177"/>
      <c r="F72" s="140"/>
      <c r="G72" s="181"/>
      <c r="H72" s="182"/>
      <c r="I72" s="140">
        <f>H72-G72</f>
        <v>0</v>
      </c>
      <c r="J72" s="140">
        <f>F72*$J$69/30*I72*1.13</f>
        <v>0</v>
      </c>
    </row>
    <row r="73" spans="5:10">
      <c r="E73" s="177"/>
      <c r="F73" s="140"/>
      <c r="G73" s="181"/>
      <c r="H73" s="182"/>
      <c r="I73" s="140">
        <f>H73-G73</f>
        <v>0</v>
      </c>
      <c r="J73" s="140">
        <f>F73*$J$69/30*I73*1.13</f>
        <v>0</v>
      </c>
    </row>
    <row r="74" spans="5:10">
      <c r="E74" s="177"/>
      <c r="F74" s="140"/>
      <c r="G74" s="181"/>
      <c r="H74" s="182"/>
      <c r="I74" s="140">
        <f>H74-G74</f>
        <v>0</v>
      </c>
      <c r="J74" s="140">
        <f>F74*$J$69/30*I74*1.13</f>
        <v>0</v>
      </c>
    </row>
    <row r="75" spans="5:10">
      <c r="E75" s="177"/>
      <c r="F75" s="140"/>
      <c r="G75" s="181"/>
      <c r="H75" s="182"/>
      <c r="I75" s="140">
        <f>H75-G75</f>
        <v>0</v>
      </c>
      <c r="J75" s="140">
        <f>F75*$J$69/30*I75*1.13</f>
        <v>0</v>
      </c>
    </row>
    <row r="76" spans="5:10">
      <c r="E76" s="183"/>
      <c r="F76" s="125" t="s">
        <v>177</v>
      </c>
      <c r="J76" s="1">
        <f>SUM(J71:J75)</f>
        <v>0</v>
      </c>
    </row>
    <row r="77" spans="5:5">
      <c r="E77" s="177"/>
    </row>
    <row r="78" spans="5:9">
      <c r="E78" s="177"/>
      <c r="F78" s="125" t="s">
        <v>178</v>
      </c>
      <c r="G78" s="164"/>
      <c r="H78" s="164"/>
      <c r="I78" s="164"/>
    </row>
    <row r="79" spans="5:9">
      <c r="E79" s="177"/>
      <c r="F79" s="165" t="s">
        <v>179</v>
      </c>
      <c r="G79" s="184">
        <v>44180</v>
      </c>
      <c r="H79" s="165"/>
      <c r="I79" s="165"/>
    </row>
    <row r="80" spans="5:9">
      <c r="E80" s="177"/>
      <c r="F80" s="165" t="s">
        <v>180</v>
      </c>
      <c r="G80" s="184">
        <v>44333</v>
      </c>
      <c r="H80" s="165"/>
      <c r="I80" s="165"/>
    </row>
    <row r="81" spans="5:9">
      <c r="E81" s="177"/>
      <c r="F81" s="165" t="s">
        <v>181</v>
      </c>
      <c r="G81" s="185">
        <f>G80-G79</f>
        <v>153</v>
      </c>
      <c r="H81" s="165"/>
      <c r="I81" s="165"/>
    </row>
    <row r="82" spans="5:9">
      <c r="E82" s="177"/>
      <c r="F82" s="186" t="s">
        <v>6</v>
      </c>
      <c r="G82" s="139" t="s">
        <v>130</v>
      </c>
      <c r="H82" s="139" t="s">
        <v>175</v>
      </c>
      <c r="I82" s="139" t="s">
        <v>151</v>
      </c>
    </row>
    <row r="83" spans="5:9">
      <c r="E83" s="177"/>
      <c r="F83" s="187"/>
      <c r="G83" s="139">
        <v>0</v>
      </c>
      <c r="H83" s="139">
        <v>60</v>
      </c>
      <c r="I83" s="193"/>
    </row>
    <row r="84" spans="6:9">
      <c r="F84" s="139"/>
      <c r="G84" s="139">
        <v>0.2</v>
      </c>
      <c r="H84" s="139">
        <v>30</v>
      </c>
      <c r="I84" s="193">
        <f t="shared" ref="I84:I86" si="0">H84*G84*F84</f>
        <v>0</v>
      </c>
    </row>
    <row r="85" spans="6:9">
      <c r="F85" s="139"/>
      <c r="G85" s="139">
        <v>0.4</v>
      </c>
      <c r="H85" s="139">
        <v>30</v>
      </c>
      <c r="I85" s="193">
        <f t="shared" si="0"/>
        <v>0</v>
      </c>
    </row>
    <row r="86" spans="6:9">
      <c r="F86" s="188"/>
      <c r="G86" s="188">
        <v>0.6</v>
      </c>
      <c r="H86" s="188">
        <f>G81-60-30-30</f>
        <v>33</v>
      </c>
      <c r="I86" s="193">
        <f t="shared" si="0"/>
        <v>0</v>
      </c>
    </row>
    <row r="87" spans="6:9">
      <c r="F87" s="189" t="s">
        <v>182</v>
      </c>
      <c r="G87" s="190"/>
      <c r="H87" s="190">
        <f>SUM(H83:H86)</f>
        <v>153</v>
      </c>
      <c r="I87" s="194">
        <f>SUM(I83:I86)</f>
        <v>0</v>
      </c>
    </row>
  </sheetData>
  <mergeCells count="13">
    <mergeCell ref="B1:D1"/>
    <mergeCell ref="B2:D2"/>
    <mergeCell ref="B3:D3"/>
    <mergeCell ref="B4:D4"/>
    <mergeCell ref="B5:D5"/>
    <mergeCell ref="B6:D6"/>
    <mergeCell ref="B7:D7"/>
    <mergeCell ref="E22:F22"/>
    <mergeCell ref="E31:F31"/>
    <mergeCell ref="G40:H40"/>
    <mergeCell ref="G45:H45"/>
    <mergeCell ref="G49:H49"/>
    <mergeCell ref="G70:H70"/>
  </mergeCells>
  <dataValidations count="23">
    <dataValidation type="list" allowBlank="1" showInputMessage="1" showErrorMessage="1" sqref="B14">
      <formula1>"赊销,预付"</formula1>
    </dataValidation>
    <dataValidation type="list" allowBlank="1" showInputMessage="1" sqref="C10">
      <formula1>"国产,印度,南非,巴西,津巴布韦,印度尼西亚"</formula1>
    </dataValidation>
    <dataValidation type="list" allowBlank="1" showInputMessage="1" showErrorMessage="1" sqref="I23 I24 I25 I26 I27 I28 I29 I32 I33 I34 I35 I36 I37 I41 I42 I43 I46 I47 I48">
      <formula1>"L1,L2,L3"</formula1>
    </dataValidation>
    <dataValidation allowBlank="1" showInputMessage="1" showErrorMessage="1" sqref="A8 C9 A12"/>
    <dataValidation allowBlank="1" showErrorMessage="1" promptTitle="请输入报关数量" prompt="请输入报关数量" sqref="B13 B15 B16 B17 B18 B19 B20"/>
    <dataValidation type="list" allowBlank="1" showInputMessage="1" showErrorMessage="1" sqref="A2 A3 A4 A5 A6 A7">
      <formula1>"上家,下家,上上家,下下家,上家2,上家3,上家4,下家2,下家3,下家4"</formula1>
    </dataValidation>
    <dataValidation type="list" allowBlank="1" showInputMessage="1" sqref="H2 H3 H4 H5 H6 H7">
      <formula1>"美分/磅铬,美元/磅铬,美元/干吨,美元/吨,元/吨,元/50基吨,元/干吨度,美元/干吨42%基,美元/干吨48%基,美元/干吨50%基,美元/干吨40%基,美元/干吨38%基,元/镍,美元/镍当量,美元/湿吨,元/82基吨,元/80基吨,美元/干吨46%基"</formula1>
    </dataValidation>
    <dataValidation type="list" allowBlank="1" showInputMessage="1" showErrorMessage="1" sqref="B9">
      <formula1>"连云港,天津港,上海港,宁波港,钦州港,直发库"</formula1>
    </dataValidation>
    <dataValidation type="list" allowBlank="1" showInputMessage="1" sqref="B10">
      <formula1>"高碳铬铁,铬矿,锰矿,锰铁,镍铁,镍矿,半焦炭,硅铁,微碳铬铁,低碳铬铁,中碳铬铁,低碳硅锰,低碳锰铁,铬精矿,铬铁"</formula1>
    </dataValidation>
    <dataValidation type="list" allowBlank="1" showInputMessage="1" sqref="B11">
      <formula1>"进口,内贸,出口,转口"</formula1>
    </dataValidation>
    <dataValidation allowBlank="1" showErrorMessage="1" promptTitle="请输入报关金额" prompt="请输入报关金额" sqref="F10 F11 F12 F13 F14 C19 C20"/>
    <dataValidation type="list" allowBlank="1" showInputMessage="1" sqref="B32 B33 B34 B37 B35:B36">
      <formula1>"销售货款,销售尾款,销售95%货款,销售90%货款,销售98%货款,代理费,定金,预付款,保证金"</formula1>
    </dataValidation>
    <dataValidation type="list" allowBlank="1" showInputMessage="1" sqref="C11">
      <formula1>"自营,代理,寄售"</formula1>
    </dataValidation>
    <dataValidation type="list" allowBlank="1" showInputMessage="1" sqref="B12">
      <formula1>"中钢国际货运江苏有限责任公司,中钢国际货运上海有限责任公司,中钢恒兴国际货运（天津）有限公司,五矿物流（福建）有限责任公司,中钢国际货运广东有限责任公司,宁波通海捷国际货代有限公司,天津外代报关行有限公司,天津振赫国际物流有限公司"</formula1>
    </dataValidation>
    <dataValidation allowBlank="1" showErrorMessage="1" promptTitle="输入ETA或者实际到货日期" prompt="ETA或者实际到货日期" sqref="F17:G17 E19 E20 F20:G20 E12:E16 E17:E18 F15:G16 F18:G19"/>
    <dataValidation type="list" allowBlank="1" showInputMessage="1" showErrorMessage="1" sqref="B41:B43" errorStyle="information">
      <formula1>"*黑色金属冶炼压延品*高碳铬铁,*黑色金属冶炼压延品*铬铁,*黑色金属冶炼压延品*低碳锰铁,*黑色金属冶炼压延品*硅锰合金,*黑色金属冶炼压延品*锰铁,*黑色金属冶炼压延品*中碳锰铁,*黑色金属冶炼压延品*低碳硅锰,*黑色金属冶炼压延品*低碳铬铁,*黑色金属冶炼压延品*微碳铬铁,*黑色金属冶炼压延品*中碳铬铁,*铬选矿*铬矿,*铬选矿*铬精矿,*黑色金属冶炼压延品*电解金属锰,*锰原矿*锰矿,*有色金属合金*镍铁,*黑色金属冶炼压延品*硅锰合金,检验费,港杂费,包干费,货代费用,运费,报关增值税,关税"</formula1>
    </dataValidation>
    <dataValidation type="list" allowBlank="1" showInputMessage="1" showErrorMessage="1" sqref="B23 B24 B25 B26 B27 B28 B29">
      <formula1>"采购货款,98%采购货款,采购尾款,95%采购货款,90%采购货款,货代费,港杂费,运费,检验费,银行费用,报关增值税,海关保证金,定金,预付款,报关增值税补税,海关保证金退回"</formula1>
    </dataValidation>
    <dataValidation type="list" allowBlank="1" showInputMessage="1" showErrorMessage="1" sqref="E41 E42 E43">
      <formula1>"6%,13%,10%,0%,100%,9%"</formula1>
    </dataValidation>
    <dataValidation type="list" allowBlank="1" showInputMessage="1" showErrorMessage="1" sqref="E46 E47 E48">
      <formula1>"6%,13%,10%,0%,100%"</formula1>
    </dataValidation>
    <dataValidation type="list" allowBlank="1" showInputMessage="1" showErrorMessage="1" sqref="B64 B65">
      <formula1>"未完结,已完结"</formula1>
    </dataValidation>
    <dataValidation type="list" allowBlank="1" showInputMessage="1" sqref="B46:B48">
      <formula1>"*黑色金属冶炼压延品*高碳铬铁,*黑色金属冶炼压延品*低碳锰铁,*黑色金属冶炼压延品*硅锰合金,*黑色金属冶炼压延品*锰铁,*黑色金属冶炼压延品*低碳硅锰,*黑色金属冶炼压延品*铬铁,*黑色金属冶炼压延品*中碳锰铁,*黑色金属冶炼压延品*低碳铬铁,*黑色金属冶炼压延品*电解金属锰,*黑色金属冶炼压延品*微碳铬铁,*黑色金属冶炼压延品*中碳铬铁,*铬选矿*铬矿,*铬选矿*铬精矿,*锰原矿*锰矿,*有色金属合金*镍铁,*黑色金属冶炼压延品*硅锰合金,*有色金属冶炼压延品*电解铜,*有色金属冶炼压延品*锌锭"</formula1>
    </dataValidation>
    <dataValidation type="list" allowBlank="1" showInputMessage="1" showErrorMessage="1" sqref="E23:E29 E30:E31 G41:G43">
      <formula1>"22ZGZJNMC1031,22ZGZJNMC1031-2"</formula1>
    </dataValidation>
    <dataValidation type="list" allowBlank="1" showInputMessage="1" showErrorMessage="1" sqref="E32:E37 G46:G48">
      <formula1>"2210HT02999,test"</formula1>
    </dataValidation>
  </dataValidations>
  <hyperlinks>
    <hyperlink ref="F21" r:id="rId81" display="中行汇率"/>
    <hyperlink ref="B39" location="台账!A1" display="回到顶部"/>
    <hyperlink ref="B50" location="台账!A1" display="回到顶部" tooltip="回到顶部"/>
    <hyperlink ref="B21" location="台账!销项合计" display="to开票信息"/>
    <hyperlink ref="C21" location="台账!结算信息结束" display="to结算信息"/>
    <hyperlink ref="C39" r:id="rId82" display="入库联系单"/>
    <hyperlink ref="D39" r:id="rId83" display="货运发票报销"/>
    <hyperlink ref="E39" r:id="rId84" display="开票联系单"/>
  </hyperlinks>
  <pageMargins left="0.747916666666667" right="0.747916666666667" top="0.629166666666667" bottom="0.984027777777778" header="0.313888888888889" footer="0.510416666666667"/>
  <pageSetup paperSize="9" scale="75" fitToWidth="0" fitToHeight="0" orientation="landscape" useFirstPageNumber="1" verticalDpi="300"/>
  <headerFooter alignWithMargins="0"/>
  <drawing r:id="rId2"/>
  <legacyDrawing r:id="rId3"/>
  <controls>
    <mc:AlternateContent xmlns:mc="http://schemas.openxmlformats.org/markup-compatibility/2006">
      <mc:Choice Requires="x14">
        <control shapeId="3135" r:id="rId4" name="付款按钮">
          <controlPr defaultSize="0" r:id="rId5">
            <anchor moveWithCells="1">
              <from>
                <xdr:col>3</xdr:col>
                <xdr:colOff>45085</xdr:colOff>
                <xdr:row>20</xdr:row>
                <xdr:rowOff>201295</xdr:rowOff>
              </from>
              <to>
                <xdr:col>3</xdr:col>
                <xdr:colOff>516255</xdr:colOff>
                <xdr:row>22</xdr:row>
                <xdr:rowOff>40640</xdr:rowOff>
              </to>
            </anchor>
          </controlPr>
        </control>
      </mc:Choice>
      <mc:Fallback>
        <control shapeId="3135" r:id="rId4" name="付款按钮"/>
      </mc:Fallback>
    </mc:AlternateContent>
    <mc:AlternateContent xmlns:mc="http://schemas.openxmlformats.org/markup-compatibility/2006">
      <mc:Choice Requires="x14">
        <control shapeId="3220" r:id="rId6" name="收款按钮">
          <controlPr defaultSize="0" r:id="rId7">
            <anchor moveWithCells="1">
              <from>
                <xdr:col>3</xdr:col>
                <xdr:colOff>45085</xdr:colOff>
                <xdr:row>29</xdr:row>
                <xdr:rowOff>172720</xdr:rowOff>
              </from>
              <to>
                <xdr:col>3</xdr:col>
                <xdr:colOff>499110</xdr:colOff>
                <xdr:row>31</xdr:row>
                <xdr:rowOff>20955</xdr:rowOff>
              </to>
            </anchor>
          </controlPr>
        </control>
      </mc:Choice>
      <mc:Fallback>
        <control shapeId="3220" r:id="rId6" name="收款按钮"/>
      </mc:Fallback>
    </mc:AlternateContent>
    <mc:AlternateContent xmlns:mc="http://schemas.openxmlformats.org/markup-compatibility/2006">
      <mc:Choice Requires="x14">
        <control shapeId="3221" r:id="rId8" name="进口信息加一列按钮">
          <controlPr defaultSize="0" r:id="rId9">
            <anchor moveWithCells="1">
              <from>
                <xdr:col>6</xdr:col>
                <xdr:colOff>1039495</xdr:colOff>
                <xdr:row>7</xdr:row>
                <xdr:rowOff>43815</xdr:rowOff>
              </from>
              <to>
                <xdr:col>7</xdr:col>
                <xdr:colOff>115570</xdr:colOff>
                <xdr:row>7</xdr:row>
                <xdr:rowOff>292100</xdr:rowOff>
              </to>
            </anchor>
          </controlPr>
        </control>
      </mc:Choice>
      <mc:Fallback>
        <control shapeId="3221" r:id="rId8" name="进口信息加一列按钮"/>
      </mc:Fallback>
    </mc:AlternateContent>
    <mc:AlternateContent xmlns:mc="http://schemas.openxmlformats.org/markup-compatibility/2006">
      <mc:Choice Requires="x14">
        <control shapeId="3222" r:id="rId10" name="进口信息减一列">
          <controlPr defaultSize="0" r:id="rId11">
            <anchor moveWithCells="1">
              <from>
                <xdr:col>7</xdr:col>
                <xdr:colOff>122555</xdr:colOff>
                <xdr:row>7</xdr:row>
                <xdr:rowOff>34290</xdr:rowOff>
              </from>
              <to>
                <xdr:col>7</xdr:col>
                <xdr:colOff>481965</xdr:colOff>
                <xdr:row>7</xdr:row>
                <xdr:rowOff>291465</xdr:rowOff>
              </to>
            </anchor>
          </controlPr>
        </control>
      </mc:Choice>
      <mc:Fallback>
        <control shapeId="3222" r:id="rId10" name="进口信息减一列"/>
      </mc:Fallback>
    </mc:AlternateContent>
    <mc:AlternateContent xmlns:mc="http://schemas.openxmlformats.org/markup-compatibility/2006">
      <mc:Choice Requires="x14">
        <control shapeId="3223" r:id="rId12" name="成本信息加一列">
          <controlPr defaultSize="0" r:id="rId13">
            <anchor moveWithCells="1">
              <from>
                <xdr:col>8</xdr:col>
                <xdr:colOff>908050</xdr:colOff>
                <xdr:row>7</xdr:row>
                <xdr:rowOff>29210</xdr:rowOff>
              </from>
              <to>
                <xdr:col>9</xdr:col>
                <xdr:colOff>216535</xdr:colOff>
                <xdr:row>7</xdr:row>
                <xdr:rowOff>279400</xdr:rowOff>
              </to>
            </anchor>
          </controlPr>
        </control>
      </mc:Choice>
      <mc:Fallback>
        <control shapeId="3223" r:id="rId12" name="成本信息加一列"/>
      </mc:Fallback>
    </mc:AlternateContent>
    <mc:AlternateContent xmlns:mc="http://schemas.openxmlformats.org/markup-compatibility/2006">
      <mc:Choice Requires="x14">
        <control shapeId="3224" r:id="rId14" name="成本信息减一列">
          <controlPr defaultSize="0" r:id="rId15">
            <anchor moveWithCells="1">
              <from>
                <xdr:col>9</xdr:col>
                <xdr:colOff>214630</xdr:colOff>
                <xdr:row>7</xdr:row>
                <xdr:rowOff>35560</xdr:rowOff>
              </from>
              <to>
                <xdr:col>9</xdr:col>
                <xdr:colOff>561975</xdr:colOff>
                <xdr:row>7</xdr:row>
                <xdr:rowOff>271780</xdr:rowOff>
              </to>
            </anchor>
          </controlPr>
        </control>
      </mc:Choice>
      <mc:Fallback>
        <control shapeId="3224" r:id="rId14" name="成本信息减一列"/>
      </mc:Fallback>
    </mc:AlternateContent>
    <mc:AlternateContent xmlns:mc="http://schemas.openxmlformats.org/markup-compatibility/2006">
      <mc:Choice Requires="x14">
        <control shapeId="3226" r:id="rId16" name="从进口数据汇总表中取数">
          <controlPr defaultSize="0" r:id="rId17">
            <anchor moveWithCells="1">
              <from>
                <xdr:col>5</xdr:col>
                <xdr:colOff>1028700</xdr:colOff>
                <xdr:row>7</xdr:row>
                <xdr:rowOff>22860</xdr:rowOff>
              </from>
              <to>
                <xdr:col>6</xdr:col>
                <xdr:colOff>327660</xdr:colOff>
                <xdr:row>7</xdr:row>
                <xdr:rowOff>297180</xdr:rowOff>
              </to>
            </anchor>
          </controlPr>
        </control>
      </mc:Choice>
      <mc:Fallback>
        <control shapeId="3226" r:id="rId16" name="从进口数据汇总表中取数"/>
      </mc:Fallback>
    </mc:AlternateContent>
    <mc:AlternateContent xmlns:mc="http://schemas.openxmlformats.org/markup-compatibility/2006">
      <mc:Choice Requires="x14">
        <control shapeId="3228" r:id="rId18" name="成本信息写入公式按钮">
          <controlPr defaultSize="0" r:id="rId19">
            <anchor moveWithCells="1">
              <from>
                <xdr:col>10</xdr:col>
                <xdr:colOff>632460</xdr:colOff>
                <xdr:row>7</xdr:row>
                <xdr:rowOff>60960</xdr:rowOff>
              </from>
              <to>
                <xdr:col>11</xdr:col>
                <xdr:colOff>407670</xdr:colOff>
                <xdr:row>8</xdr:row>
                <xdr:rowOff>38100</xdr:rowOff>
              </to>
            </anchor>
          </controlPr>
        </control>
      </mc:Choice>
      <mc:Fallback>
        <control shapeId="3228" r:id="rId18" name="成本信息写入公式按钮"/>
      </mc:Fallback>
    </mc:AlternateContent>
    <mc:AlternateContent xmlns:mc="http://schemas.openxmlformats.org/markup-compatibility/2006">
      <mc:Choice Requires="x14">
        <control shapeId="3229" r:id="rId20" name="成本信息取数按钮">
          <controlPr defaultSize="0" r:id="rId21">
            <anchor moveWithCells="1">
              <from>
                <xdr:col>9</xdr:col>
                <xdr:colOff>754380</xdr:colOff>
                <xdr:row>7</xdr:row>
                <xdr:rowOff>53340</xdr:rowOff>
              </from>
              <to>
                <xdr:col>10</xdr:col>
                <xdr:colOff>554355</xdr:colOff>
                <xdr:row>8</xdr:row>
                <xdr:rowOff>22860</xdr:rowOff>
              </to>
            </anchor>
          </controlPr>
        </control>
      </mc:Choice>
      <mc:Fallback>
        <control shapeId="3229" r:id="rId20" name="成本信息取数按钮"/>
      </mc:Fallback>
    </mc:AlternateContent>
    <mc:AlternateContent xmlns:mc="http://schemas.openxmlformats.org/markup-compatibility/2006">
      <mc:Choice Requires="x14">
        <control shapeId="3230" r:id="rId22" name="数据搬移">
          <controlPr defaultSize="0" r:id="rId23">
            <anchor moveWithCells="1">
              <from>
                <xdr:col>9</xdr:col>
                <xdr:colOff>859790</xdr:colOff>
                <xdr:row>12</xdr:row>
                <xdr:rowOff>125730</xdr:rowOff>
              </from>
              <to>
                <xdr:col>10</xdr:col>
                <xdr:colOff>890270</xdr:colOff>
                <xdr:row>13</xdr:row>
                <xdr:rowOff>211455</xdr:rowOff>
              </to>
            </anchor>
          </controlPr>
        </control>
      </mc:Choice>
      <mc:Fallback>
        <control shapeId="3230" r:id="rId22" name="数据搬移"/>
      </mc:Fallback>
    </mc:AlternateContent>
    <mc:AlternateContent xmlns:mc="http://schemas.openxmlformats.org/markup-compatibility/2006">
      <mc:Choice Requires="x14">
        <control shapeId="3231" r:id="rId24" name="打开数据同步窗口">
          <controlPr defaultSize="0" r:id="rId25">
            <anchor moveWithCells="1">
              <from>
                <xdr:col>4</xdr:col>
                <xdr:colOff>44450</xdr:colOff>
                <xdr:row>51</xdr:row>
                <xdr:rowOff>120015</xdr:rowOff>
              </from>
              <to>
                <xdr:col>4</xdr:col>
                <xdr:colOff>1178560</xdr:colOff>
                <xdr:row>52</xdr:row>
                <xdr:rowOff>211455</xdr:rowOff>
              </to>
            </anchor>
          </controlPr>
        </control>
      </mc:Choice>
      <mc:Fallback>
        <control shapeId="3231" r:id="rId24" name="打开数据同步窗口"/>
      </mc:Fallback>
    </mc:AlternateContent>
    <mc:AlternateContent xmlns:mc="http://schemas.openxmlformats.org/markup-compatibility/2006">
      <mc:Choice Requires="x14">
        <control shapeId="3232" r:id="rId26" name="初始化加载">
          <controlPr defaultSize="0" r:id="rId27">
            <anchor moveWithCells="1">
              <from>
                <xdr:col>9</xdr:col>
                <xdr:colOff>859790</xdr:colOff>
                <xdr:row>14</xdr:row>
                <xdr:rowOff>3810</xdr:rowOff>
              </from>
              <to>
                <xdr:col>10</xdr:col>
                <xdr:colOff>909320</xdr:colOff>
                <xdr:row>15</xdr:row>
                <xdr:rowOff>88265</xdr:rowOff>
              </to>
            </anchor>
          </controlPr>
        </control>
      </mc:Choice>
      <mc:Fallback>
        <control shapeId="3232" r:id="rId26" name="初始化加载"/>
      </mc:Fallback>
    </mc:AlternateContent>
    <mc:AlternateContent xmlns:mc="http://schemas.openxmlformats.org/markup-compatibility/2006">
      <mc:Choice Requires="x14">
        <control shapeId="3233" r:id="rId28" name="统计入库">
          <controlPr defaultSize="0" r:id="rId29">
            <anchor moveWithCells="1">
              <from>
                <xdr:col>9</xdr:col>
                <xdr:colOff>859790</xdr:colOff>
                <xdr:row>18</xdr:row>
                <xdr:rowOff>52070</xdr:rowOff>
              </from>
              <to>
                <xdr:col>10</xdr:col>
                <xdr:colOff>918845</xdr:colOff>
                <xdr:row>19</xdr:row>
                <xdr:rowOff>70485</xdr:rowOff>
              </to>
            </anchor>
          </controlPr>
        </control>
      </mc:Choice>
      <mc:Fallback>
        <control shapeId="3233" r:id="rId28" name="统计入库"/>
      </mc:Fallback>
    </mc:AlternateContent>
    <mc:AlternateContent xmlns:mc="http://schemas.openxmlformats.org/markup-compatibility/2006">
      <mc:Choice Requires="x14">
        <control shapeId="3234" r:id="rId30" name="打开清除信息窗口">
          <controlPr defaultSize="0" r:id="rId31">
            <anchor moveWithCells="1">
              <from>
                <xdr:col>9</xdr:col>
                <xdr:colOff>81280</xdr:colOff>
                <xdr:row>25</xdr:row>
                <xdr:rowOff>71755</xdr:rowOff>
              </from>
              <to>
                <xdr:col>10</xdr:col>
                <xdr:colOff>54610</xdr:colOff>
                <xdr:row>26</xdr:row>
                <xdr:rowOff>151765</xdr:rowOff>
              </to>
            </anchor>
          </controlPr>
        </control>
      </mc:Choice>
      <mc:Fallback>
        <control shapeId="3234" r:id="rId30" name="打开清除信息窗口"/>
      </mc:Fallback>
    </mc:AlternateContent>
    <mc:AlternateContent xmlns:mc="http://schemas.openxmlformats.org/markup-compatibility/2006">
      <mc:Choice Requires="x14">
        <control shapeId="3235" r:id="rId32" name="一键开所有按钮">
          <controlPr defaultSize="0" r:id="rId33">
            <anchor moveWithCells="1">
              <from>
                <xdr:col>9</xdr:col>
                <xdr:colOff>105410</xdr:colOff>
                <xdr:row>33</xdr:row>
                <xdr:rowOff>119380</xdr:rowOff>
              </from>
              <to>
                <xdr:col>10</xdr:col>
                <xdr:colOff>71755</xdr:colOff>
                <xdr:row>36</xdr:row>
                <xdr:rowOff>113030</xdr:rowOff>
              </to>
            </anchor>
          </controlPr>
        </control>
      </mc:Choice>
      <mc:Fallback>
        <control shapeId="3235" r:id="rId32" name="一键开所有按钮"/>
      </mc:Fallback>
    </mc:AlternateContent>
    <mc:AlternateContent xmlns:mc="http://schemas.openxmlformats.org/markup-compatibility/2006">
      <mc:Choice Requires="x14">
        <control shapeId="3236" r:id="rId34" name="一键关所有按钮">
          <controlPr defaultSize="0" r:id="rId35">
            <anchor moveWithCells="1">
              <from>
                <xdr:col>10</xdr:col>
                <xdr:colOff>206375</xdr:colOff>
                <xdr:row>33</xdr:row>
                <xdr:rowOff>112395</xdr:rowOff>
              </from>
              <to>
                <xdr:col>11</xdr:col>
                <xdr:colOff>156210</xdr:colOff>
                <xdr:row>36</xdr:row>
                <xdr:rowOff>106045</xdr:rowOff>
              </to>
            </anchor>
          </controlPr>
        </control>
      </mc:Choice>
      <mc:Fallback>
        <control shapeId="3236" r:id="rId34" name="一键关所有按钮"/>
      </mc:Fallback>
    </mc:AlternateContent>
    <mc:AlternateContent xmlns:mc="http://schemas.openxmlformats.org/markup-compatibility/2006">
      <mc:Choice Requires="x14">
        <control shapeId="3237" r:id="rId36" name="去文件夹">
          <controlPr defaultSize="0" r:id="rId37">
            <anchor moveWithCells="1">
              <from>
                <xdr:col>10</xdr:col>
                <xdr:colOff>227330</xdr:colOff>
                <xdr:row>22</xdr:row>
                <xdr:rowOff>186690</xdr:rowOff>
              </from>
              <to>
                <xdr:col>11</xdr:col>
                <xdr:colOff>177165</xdr:colOff>
                <xdr:row>25</xdr:row>
                <xdr:rowOff>180340</xdr:rowOff>
              </to>
            </anchor>
          </controlPr>
        </control>
      </mc:Choice>
      <mc:Fallback>
        <control shapeId="3237" r:id="rId36" name="去文件夹"/>
      </mc:Fallback>
    </mc:AlternateContent>
    <mc:AlternateContent xmlns:mc="http://schemas.openxmlformats.org/markup-compatibility/2006">
      <mc:Choice Requires="x14">
        <control shapeId="3239" r:id="rId38" name="测算利润按钮">
          <controlPr defaultSize="0" r:id="rId39">
            <anchor moveWithCells="1">
              <from>
                <xdr:col>4</xdr:col>
                <xdr:colOff>58420</xdr:colOff>
                <xdr:row>49</xdr:row>
                <xdr:rowOff>325755</xdr:rowOff>
              </from>
              <to>
                <xdr:col>4</xdr:col>
                <xdr:colOff>1198245</xdr:colOff>
                <xdr:row>51</xdr:row>
                <xdr:rowOff>80645</xdr:rowOff>
              </to>
            </anchor>
          </controlPr>
        </control>
      </mc:Choice>
      <mc:Fallback>
        <control shapeId="3239" r:id="rId38" name="测算利润按钮"/>
      </mc:Fallback>
    </mc:AlternateContent>
    <mc:AlternateContent xmlns:mc="http://schemas.openxmlformats.org/markup-compatibility/2006">
      <mc:Choice Requires="x14">
        <control shapeId="3240" r:id="rId40" name="已完结按钮">
          <controlPr defaultSize="0" r:id="rId41">
            <anchor moveWithCells="1">
              <from>
                <xdr:col>4</xdr:col>
                <xdr:colOff>58420</xdr:colOff>
                <xdr:row>55</xdr:row>
                <xdr:rowOff>121920</xdr:rowOff>
              </from>
              <to>
                <xdr:col>4</xdr:col>
                <xdr:colOff>868045</xdr:colOff>
                <xdr:row>56</xdr:row>
                <xdr:rowOff>163830</xdr:rowOff>
              </to>
            </anchor>
          </controlPr>
        </control>
      </mc:Choice>
      <mc:Fallback>
        <control shapeId="3240" r:id="rId40" name="已完结按钮"/>
      </mc:Fallback>
    </mc:AlternateContent>
    <mc:AlternateContent xmlns:mc="http://schemas.openxmlformats.org/markup-compatibility/2006">
      <mc:Choice Requires="x14">
        <control shapeId="3241" r:id="rId42" name="未完结按钮">
          <controlPr defaultSize="0" r:id="rId43">
            <anchor moveWithCells="1">
              <from>
                <xdr:col>4</xdr:col>
                <xdr:colOff>58420</xdr:colOff>
                <xdr:row>56</xdr:row>
                <xdr:rowOff>174625</xdr:rowOff>
              </from>
              <to>
                <xdr:col>4</xdr:col>
                <xdr:colOff>868045</xdr:colOff>
                <xdr:row>57</xdr:row>
                <xdr:rowOff>217170</xdr:rowOff>
              </to>
            </anchor>
          </controlPr>
        </control>
      </mc:Choice>
      <mc:Fallback>
        <control shapeId="3241" r:id="rId42" name="未完结按钮"/>
      </mc:Fallback>
    </mc:AlternateContent>
    <mc:AlternateContent xmlns:mc="http://schemas.openxmlformats.org/markup-compatibility/2006">
      <mc:Choice Requires="x14">
        <control shapeId="3242" r:id="rId44" name="去放货文件夹按钮">
          <controlPr defaultSize="0" r:id="rId45">
            <anchor moveWithCells="1">
              <from>
                <xdr:col>6</xdr:col>
                <xdr:colOff>893445</xdr:colOff>
                <xdr:row>29</xdr:row>
                <xdr:rowOff>175895</xdr:rowOff>
              </from>
              <to>
                <xdr:col>7</xdr:col>
                <xdr:colOff>4445</xdr:colOff>
                <xdr:row>31</xdr:row>
                <xdr:rowOff>16510</xdr:rowOff>
              </to>
            </anchor>
          </controlPr>
        </control>
      </mc:Choice>
      <mc:Fallback>
        <control shapeId="3242" r:id="rId44" name="去放货文件夹按钮"/>
      </mc:Fallback>
    </mc:AlternateContent>
    <mc:AlternateContent xmlns:mc="http://schemas.openxmlformats.org/markup-compatibility/2006">
      <mc:Choice Requires="x14">
        <control shapeId="3244" r:id="rId46" name="计算不含税金额按钮">
          <controlPr defaultSize="0" r:id="rId47">
            <anchor moveWithCells="1">
              <from>
                <xdr:col>7</xdr:col>
                <xdr:colOff>1238250</xdr:colOff>
                <xdr:row>37</xdr:row>
                <xdr:rowOff>201930</xdr:rowOff>
              </from>
              <to>
                <xdr:col>8</xdr:col>
                <xdr:colOff>1024255</xdr:colOff>
                <xdr:row>39</xdr:row>
                <xdr:rowOff>19050</xdr:rowOff>
              </to>
            </anchor>
          </controlPr>
        </control>
      </mc:Choice>
      <mc:Fallback>
        <control shapeId="3244" r:id="rId46" name="计算不含税金额按钮"/>
      </mc:Fallback>
    </mc:AlternateContent>
    <mc:AlternateContent xmlns:mc="http://schemas.openxmlformats.org/markup-compatibility/2006">
      <mc:Choice Requires="x14">
        <control shapeId="3245" r:id="rId48" name="打开开票按钮">
          <controlPr defaultSize="0" r:id="rId49">
            <anchor moveWithCells="1">
              <from>
                <xdr:col>6</xdr:col>
                <xdr:colOff>297180</xdr:colOff>
                <xdr:row>37</xdr:row>
                <xdr:rowOff>215265</xdr:rowOff>
              </from>
              <to>
                <xdr:col>6</xdr:col>
                <xdr:colOff>815975</xdr:colOff>
                <xdr:row>39</xdr:row>
                <xdr:rowOff>29210</xdr:rowOff>
              </to>
            </anchor>
          </controlPr>
        </control>
      </mc:Choice>
      <mc:Fallback>
        <control shapeId="3245" r:id="rId48" name="打开开票按钮"/>
      </mc:Fallback>
    </mc:AlternateContent>
    <mc:AlternateContent xmlns:mc="http://schemas.openxmlformats.org/markup-compatibility/2006">
      <mc:Choice Requires="x14">
        <control shapeId="3246" r:id="rId50" name="打开入库窗口">
          <controlPr defaultSize="0" r:id="rId51">
            <anchor moveWithCells="1">
              <from>
                <xdr:col>6</xdr:col>
                <xdr:colOff>946150</xdr:colOff>
                <xdr:row>37</xdr:row>
                <xdr:rowOff>215265</xdr:rowOff>
              </from>
              <to>
                <xdr:col>7</xdr:col>
                <xdr:colOff>207645</xdr:colOff>
                <xdr:row>39</xdr:row>
                <xdr:rowOff>29210</xdr:rowOff>
              </to>
            </anchor>
          </controlPr>
        </control>
      </mc:Choice>
      <mc:Fallback>
        <control shapeId="3246" r:id="rId50" name="打开入库窗口"/>
      </mc:Fallback>
    </mc:AlternateContent>
    <mc:AlternateContent xmlns:mc="http://schemas.openxmlformats.org/markup-compatibility/2006">
      <mc:Choice Requires="x14">
        <control shapeId="3247" r:id="rId52" name="打开ERP台账按钮">
          <controlPr defaultSize="0" r:id="rId53">
            <anchor moveWithCells="1">
              <from>
                <xdr:col>7</xdr:col>
                <xdr:colOff>337820</xdr:colOff>
                <xdr:row>37</xdr:row>
                <xdr:rowOff>215265</xdr:rowOff>
              </from>
              <to>
                <xdr:col>7</xdr:col>
                <xdr:colOff>988695</xdr:colOff>
                <xdr:row>39</xdr:row>
                <xdr:rowOff>29210</xdr:rowOff>
              </to>
            </anchor>
          </controlPr>
        </control>
      </mc:Choice>
      <mc:Fallback>
        <control shapeId="3247" r:id="rId52" name="打开ERP台账按钮"/>
      </mc:Fallback>
    </mc:AlternateContent>
    <mc:AlternateContent xmlns:mc="http://schemas.openxmlformats.org/markup-compatibility/2006">
      <mc:Choice Requires="x14">
        <control shapeId="3248" r:id="rId54" name="打开货代文件夹按钮">
          <controlPr defaultSize="0" r:id="rId55">
            <anchor moveWithCells="1">
              <from>
                <xdr:col>2</xdr:col>
                <xdr:colOff>16510</xdr:colOff>
                <xdr:row>10</xdr:row>
                <xdr:rowOff>195580</xdr:rowOff>
              </from>
              <to>
                <xdr:col>2</xdr:col>
                <xdr:colOff>967740</xdr:colOff>
                <xdr:row>12</xdr:row>
                <xdr:rowOff>15875</xdr:rowOff>
              </to>
            </anchor>
          </controlPr>
        </control>
      </mc:Choice>
      <mc:Fallback>
        <control shapeId="3248" r:id="rId54" name="打开货代文件夹按钮"/>
      </mc:Fallback>
    </mc:AlternateContent>
    <mc:AlternateContent xmlns:mc="http://schemas.openxmlformats.org/markup-compatibility/2006">
      <mc:Choice Requires="x14">
        <control shapeId="3249" r:id="rId56" name="按年份汇总合同按钮">
          <controlPr defaultSize="0" r:id="rId57">
            <anchor moveWithCells="1">
              <from>
                <xdr:col>9</xdr:col>
                <xdr:colOff>859790</xdr:colOff>
                <xdr:row>16</xdr:row>
                <xdr:rowOff>162560</xdr:rowOff>
              </from>
              <to>
                <xdr:col>10</xdr:col>
                <xdr:colOff>909320</xdr:colOff>
                <xdr:row>18</xdr:row>
                <xdr:rowOff>71755</xdr:rowOff>
              </to>
            </anchor>
          </controlPr>
        </control>
      </mc:Choice>
      <mc:Fallback>
        <control shapeId="3249" r:id="rId56" name="按年份汇总合同按钮"/>
      </mc:Fallback>
    </mc:AlternateContent>
    <mc:AlternateContent xmlns:mc="http://schemas.openxmlformats.org/markup-compatibility/2006">
      <mc:Choice Requires="x14">
        <control shapeId="3250" r:id="rId58" name="合同执行报表按钮">
          <controlPr defaultSize="0" r:id="rId59">
            <anchor moveWithCells="1">
              <from>
                <xdr:col>10</xdr:col>
                <xdr:colOff>227330</xdr:colOff>
                <xdr:row>26</xdr:row>
                <xdr:rowOff>97790</xdr:rowOff>
              </from>
              <to>
                <xdr:col>11</xdr:col>
                <xdr:colOff>170180</xdr:colOff>
                <xdr:row>27</xdr:row>
                <xdr:rowOff>177165</xdr:rowOff>
              </to>
            </anchor>
          </controlPr>
        </control>
      </mc:Choice>
      <mc:Fallback>
        <control shapeId="3250" r:id="rId58" name="合同执行报表按钮"/>
      </mc:Fallback>
    </mc:AlternateContent>
    <mc:AlternateContent xmlns:mc="http://schemas.openxmlformats.org/markup-compatibility/2006">
      <mc:Choice Requires="x14">
        <control shapeId="3251" r:id="rId60" name="计算利息按钮">
          <controlPr defaultSize="0" r:id="rId61">
            <anchor moveWithCells="1">
              <from>
                <xdr:col>9</xdr:col>
                <xdr:colOff>67310</xdr:colOff>
                <xdr:row>27</xdr:row>
                <xdr:rowOff>118110</xdr:rowOff>
              </from>
              <to>
                <xdr:col>10</xdr:col>
                <xdr:colOff>62230</xdr:colOff>
                <xdr:row>28</xdr:row>
                <xdr:rowOff>196215</xdr:rowOff>
              </to>
            </anchor>
          </controlPr>
        </control>
      </mc:Choice>
      <mc:Fallback>
        <control shapeId="3251" r:id="rId60" name="计算利息按钮"/>
      </mc:Fallback>
    </mc:AlternateContent>
    <mc:AlternateContent xmlns:mc="http://schemas.openxmlformats.org/markup-compatibility/2006">
      <mc:Choice Requires="x14">
        <control shapeId="3252" r:id="rId62" name="check_数据完整性按钮">
          <controlPr defaultSize="0" r:id="rId63">
            <anchor moveWithCells="1">
              <from>
                <xdr:col>9</xdr:col>
                <xdr:colOff>78740</xdr:colOff>
                <xdr:row>22</xdr:row>
                <xdr:rowOff>175895</xdr:rowOff>
              </from>
              <to>
                <xdr:col>10</xdr:col>
                <xdr:colOff>59055</xdr:colOff>
                <xdr:row>24</xdr:row>
                <xdr:rowOff>191770</xdr:rowOff>
              </to>
            </anchor>
          </controlPr>
        </control>
      </mc:Choice>
      <mc:Fallback>
        <control shapeId="3252" r:id="rId62" name="check_数据完整性按钮"/>
      </mc:Fallback>
    </mc:AlternateContent>
    <mc:AlternateContent xmlns:mc="http://schemas.openxmlformats.org/markup-compatibility/2006">
      <mc:Choice Requires="x14">
        <control shapeId="3253" r:id="rId64" name="拆分全部结算按钮">
          <controlPr defaultSize="0" r:id="rId65">
            <anchor moveWithCells="1">
              <from>
                <xdr:col>4</xdr:col>
                <xdr:colOff>24765</xdr:colOff>
                <xdr:row>59</xdr:row>
                <xdr:rowOff>78105</xdr:rowOff>
              </from>
              <to>
                <xdr:col>4</xdr:col>
                <xdr:colOff>1158875</xdr:colOff>
                <xdr:row>60</xdr:row>
                <xdr:rowOff>169545</xdr:rowOff>
              </to>
            </anchor>
          </controlPr>
        </control>
      </mc:Choice>
      <mc:Fallback>
        <control shapeId="3253" r:id="rId64" name="拆分全部结算按钮"/>
      </mc:Fallback>
    </mc:AlternateContent>
    <mc:AlternateContent xmlns:mc="http://schemas.openxmlformats.org/markup-compatibility/2006">
      <mc:Choice Requires="x14">
        <control shapeId="3254" r:id="rId66" name="拆分单个结算按钮">
          <controlPr defaultSize="0" r:id="rId67">
            <anchor moveWithCells="1">
              <from>
                <xdr:col>4</xdr:col>
                <xdr:colOff>38100</xdr:colOff>
                <xdr:row>60</xdr:row>
                <xdr:rowOff>177165</xdr:rowOff>
              </from>
              <to>
                <xdr:col>4</xdr:col>
                <xdr:colOff>1172210</xdr:colOff>
                <xdr:row>62</xdr:row>
                <xdr:rowOff>47625</xdr:rowOff>
              </to>
            </anchor>
          </controlPr>
        </control>
      </mc:Choice>
      <mc:Fallback>
        <control shapeId="3254" r:id="rId66" name="拆分单个结算按钮"/>
      </mc:Fallback>
    </mc:AlternateContent>
    <mc:AlternateContent xmlns:mc="http://schemas.openxmlformats.org/markup-compatibility/2006">
      <mc:Choice Requires="x14">
        <control shapeId="3255" r:id="rId68" name="生产应收报表按钮">
          <controlPr defaultSize="0" r:id="rId69">
            <anchor moveWithCells="1">
              <from>
                <xdr:col>10</xdr:col>
                <xdr:colOff>227330</xdr:colOff>
                <xdr:row>27</xdr:row>
                <xdr:rowOff>184150</xdr:rowOff>
              </from>
              <to>
                <xdr:col>11</xdr:col>
                <xdr:colOff>170180</xdr:colOff>
                <xdr:row>29</xdr:row>
                <xdr:rowOff>57785</xdr:rowOff>
              </to>
            </anchor>
          </controlPr>
        </control>
      </mc:Choice>
      <mc:Fallback>
        <control shapeId="3255" r:id="rId68" name="生产应收报表按钮"/>
      </mc:Fallback>
    </mc:AlternateContent>
    <mc:AlternateContent xmlns:mc="http://schemas.openxmlformats.org/markup-compatibility/2006">
      <mc:Choice Requires="x14">
        <control shapeId="3256" r:id="rId70" name="生产预付报表按钮">
          <controlPr defaultSize="0" r:id="rId71">
            <anchor moveWithCells="1">
              <from>
                <xdr:col>10</xdr:col>
                <xdr:colOff>227330</xdr:colOff>
                <xdr:row>29</xdr:row>
                <xdr:rowOff>71120</xdr:rowOff>
              </from>
              <to>
                <xdr:col>11</xdr:col>
                <xdr:colOff>170180</xdr:colOff>
                <xdr:row>30</xdr:row>
                <xdr:rowOff>165735</xdr:rowOff>
              </to>
            </anchor>
          </controlPr>
        </control>
      </mc:Choice>
      <mc:Fallback>
        <control shapeId="3256" r:id="rId70" name="生产预付报表按钮"/>
      </mc:Fallback>
    </mc:AlternateContent>
    <mc:AlternateContent xmlns:mc="http://schemas.openxmlformats.org/markup-compatibility/2006">
      <mc:Choice Requires="x14">
        <control shapeId="3257" r:id="rId72" name="合同备案报表按钮">
          <controlPr defaultSize="0" r:id="rId73">
            <anchor moveWithCells="1">
              <from>
                <xdr:col>10</xdr:col>
                <xdr:colOff>213360</xdr:colOff>
                <xdr:row>30</xdr:row>
                <xdr:rowOff>183515</xdr:rowOff>
              </from>
              <to>
                <xdr:col>11</xdr:col>
                <xdr:colOff>156210</xdr:colOff>
                <xdr:row>32</xdr:row>
                <xdr:rowOff>72390</xdr:rowOff>
              </to>
            </anchor>
          </controlPr>
        </control>
      </mc:Choice>
      <mc:Fallback>
        <control shapeId="3257" r:id="rId72" name="合同备案报表按钮"/>
      </mc:Fallback>
    </mc:AlternateContent>
    <mc:AlternateContent xmlns:mc="http://schemas.openxmlformats.org/markup-compatibility/2006">
      <mc:Choice Requires="x14">
        <control shapeId="3258" r:id="rId74" name="打开扩展">
          <controlPr defaultSize="0" r:id="rId75">
            <anchor moveWithCells="1">
              <from>
                <xdr:col>9</xdr:col>
                <xdr:colOff>85725</xdr:colOff>
                <xdr:row>29</xdr:row>
                <xdr:rowOff>169545</xdr:rowOff>
              </from>
              <to>
                <xdr:col>10</xdr:col>
                <xdr:colOff>80645</xdr:colOff>
                <xdr:row>31</xdr:row>
                <xdr:rowOff>57150</xdr:rowOff>
              </to>
            </anchor>
          </controlPr>
        </control>
      </mc:Choice>
      <mc:Fallback>
        <control shapeId="3258" r:id="rId74" name="打开扩展"/>
      </mc:Fallback>
    </mc:AlternateContent>
    <mc:AlternateContent xmlns:mc="http://schemas.openxmlformats.org/markup-compatibility/2006">
      <mc:Choice Requires="x14">
        <control shapeId="3101" name="Button 29" r:id="rId76">
          <controlPr print="0" defaultSize="0">
            <anchor moveWithCells="1">
              <from>
                <xdr:col>4</xdr:col>
                <xdr:colOff>78740</xdr:colOff>
                <xdr:row>63</xdr:row>
                <xdr:rowOff>63500</xdr:rowOff>
              </from>
              <to>
                <xdr:col>4</xdr:col>
                <xdr:colOff>1012190</xdr:colOff>
                <xdr:row>64</xdr:row>
                <xdr:rowOff>85090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name="Button 30" r:id="rId77">
          <controlPr print="0" defaultSize="0">
            <anchor moveWithCells="1">
              <from>
                <xdr:col>4</xdr:col>
                <xdr:colOff>70485</xdr:colOff>
                <xdr:row>64</xdr:row>
                <xdr:rowOff>128270</xdr:rowOff>
              </from>
              <to>
                <xdr:col>4</xdr:col>
                <xdr:colOff>1003935</xdr:colOff>
                <xdr:row>65</xdr:row>
                <xdr:rowOff>118745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2" name="Button 40" r:id="rId78">
          <controlPr print="0" defaultSize="0">
            <anchor moveWithCells="1">
              <from>
                <xdr:col>6</xdr:col>
                <xdr:colOff>39370</xdr:colOff>
                <xdr:row>60</xdr:row>
                <xdr:rowOff>162560</xdr:rowOff>
              </from>
              <to>
                <xdr:col>6</xdr:col>
                <xdr:colOff>752475</xdr:colOff>
                <xdr:row>61</xdr:row>
                <xdr:rowOff>191135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1" name="Button 139" r:id="rId79">
          <controlPr print="0" defaultSize="0">
            <anchor moveWithCells="1">
              <from>
                <xdr:col>9</xdr:col>
                <xdr:colOff>150495</xdr:colOff>
                <xdr:row>39</xdr:row>
                <xdr:rowOff>154305</xdr:rowOff>
              </from>
              <to>
                <xdr:col>9</xdr:col>
                <xdr:colOff>1129030</xdr:colOff>
                <xdr:row>40</xdr:row>
                <xdr:rowOff>159385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name="Button 104" r:id="rId80">
          <controlPr print="0" defaultSize="0">
            <anchor moveWithCells="1">
              <from>
                <xdr:col>11</xdr:col>
                <xdr:colOff>706755</xdr:colOff>
                <xdr:row>29</xdr:row>
                <xdr:rowOff>55245</xdr:rowOff>
              </from>
              <to>
                <xdr:col>13</xdr:col>
                <xdr:colOff>224155</xdr:colOff>
                <xdr:row>30</xdr:row>
                <xdr:rowOff>60325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台账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CHINA-45E8B79E5</dc:creator>
  <cp:lastModifiedBy>柴泽辉</cp:lastModifiedBy>
  <dcterms:created xsi:type="dcterms:W3CDTF">2011-04-08T15:06:00Z</dcterms:created>
  <dcterms:modified xsi:type="dcterms:W3CDTF">2023-07-06T02:01:02Z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2052-11.1.0.13703</vt:lpwstr>
  </property>
  <property fmtid="{D5CDD505-2E9C-101B-9397-08002B2CF9AE}" pid="3" name="KSORubyTemplateID">
    <vt:lpwstr>14</vt:lpwstr>
  </property>
  <property fmtid="{D5CDD505-2E9C-101B-9397-08002B2CF9AE}" pid="4" name="ICV">
    <vt:lpwstr>00D8B2A4547D4500A44F7C175165B877</vt:lpwstr>
  </property>
</Properties>
</file>